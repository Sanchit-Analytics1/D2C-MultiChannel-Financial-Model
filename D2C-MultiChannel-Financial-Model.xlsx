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 class\"/>
    </mc:Choice>
  </mc:AlternateContent>
  <xr:revisionPtr revIDLastSave="0" documentId="8_{454C52A1-7BED-4DA6-B9F9-25EABA132DF6}" xr6:coauthVersionLast="47" xr6:coauthVersionMax="47" xr10:uidLastSave="{00000000-0000-0000-0000-000000000000}"/>
  <bookViews>
    <workbookView xWindow="0" yWindow="0" windowWidth="19095" windowHeight="15750" firstSheet="2" activeTab="4" xr2:uid="{0737EFA1-C6D1-4571-95C1-809612E7523A}"/>
  </bookViews>
  <sheets>
    <sheet name="Channel_Summary" sheetId="2" r:id="rId1"/>
    <sheet name="Sales_Data" sheetId="1" r:id="rId2"/>
    <sheet name="Budget_Variance" sheetId="3" r:id="rId3"/>
    <sheet name="Management_Dashboard" sheetId="6" r:id="rId4"/>
    <sheet name="Settlement_Reconciliation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7" l="1"/>
  <c r="B5" i="7"/>
  <c r="D5" i="7" s="1"/>
  <c r="F5" i="7" s="1"/>
  <c r="B4" i="7"/>
  <c r="F4" i="7" s="1"/>
  <c r="E8" i="7"/>
  <c r="D4" i="7"/>
  <c r="E2" i="3"/>
  <c r="F2" i="3" s="1"/>
  <c r="J2" i="6"/>
  <c r="F2" i="6"/>
  <c r="B2" i="6"/>
  <c r="E9" i="3"/>
  <c r="E10" i="3"/>
  <c r="F8" i="3"/>
  <c r="F10" i="3"/>
  <c r="E8" i="3"/>
  <c r="D7" i="3"/>
  <c r="E7" i="3" s="1"/>
  <c r="F7" i="3" s="1"/>
  <c r="D6" i="3"/>
  <c r="E6" i="3" s="1"/>
  <c r="F6" i="3" s="1"/>
  <c r="D5" i="3"/>
  <c r="E5" i="3" s="1"/>
  <c r="F5" i="3" s="1"/>
  <c r="K77" i="1"/>
  <c r="K78" i="1"/>
  <c r="L78" i="1" s="1"/>
  <c r="K79" i="1"/>
  <c r="K80" i="1"/>
  <c r="L80" i="1" s="1"/>
  <c r="K81" i="1"/>
  <c r="K82" i="1"/>
  <c r="L82" i="1" s="1"/>
  <c r="K83" i="1"/>
  <c r="L83" i="1" s="1"/>
  <c r="K84" i="1"/>
  <c r="L84" i="1" s="1"/>
  <c r="K85" i="1"/>
  <c r="K86" i="1"/>
  <c r="L86" i="1" s="1"/>
  <c r="K87" i="1"/>
  <c r="K88" i="1"/>
  <c r="K89" i="1"/>
  <c r="K90" i="1"/>
  <c r="L90" i="1" s="1"/>
  <c r="K91" i="1"/>
  <c r="L91" i="1" s="1"/>
  <c r="K92" i="1"/>
  <c r="L92" i="1" s="1"/>
  <c r="K93" i="1"/>
  <c r="K94" i="1"/>
  <c r="L94" i="1" s="1"/>
  <c r="K95" i="1"/>
  <c r="K96" i="1"/>
  <c r="L96" i="1" s="1"/>
  <c r="K97" i="1"/>
  <c r="K98" i="1"/>
  <c r="K99" i="1"/>
  <c r="L99" i="1" s="1"/>
  <c r="K100" i="1"/>
  <c r="L100" i="1" s="1"/>
  <c r="L77" i="1"/>
  <c r="L79" i="1"/>
  <c r="L81" i="1"/>
  <c r="L85" i="1"/>
  <c r="L87" i="1"/>
  <c r="L88" i="1"/>
  <c r="L89" i="1"/>
  <c r="L93" i="1"/>
  <c r="L95" i="1"/>
  <c r="L97" i="1"/>
  <c r="L98" i="1"/>
  <c r="K52" i="1"/>
  <c r="K53" i="1"/>
  <c r="K54" i="1"/>
  <c r="L54" i="1" s="1"/>
  <c r="K55" i="1"/>
  <c r="K56" i="1"/>
  <c r="L56" i="1" s="1"/>
  <c r="K57" i="1"/>
  <c r="K58" i="1"/>
  <c r="K59" i="1"/>
  <c r="L59" i="1" s="1"/>
  <c r="K60" i="1"/>
  <c r="K61" i="1"/>
  <c r="K62" i="1"/>
  <c r="L62" i="1" s="1"/>
  <c r="K63" i="1"/>
  <c r="K64" i="1"/>
  <c r="L64" i="1" s="1"/>
  <c r="K65" i="1"/>
  <c r="L65" i="1" s="1"/>
  <c r="K66" i="1"/>
  <c r="K67" i="1"/>
  <c r="L67" i="1" s="1"/>
  <c r="K68" i="1"/>
  <c r="K69" i="1"/>
  <c r="K70" i="1"/>
  <c r="L70" i="1" s="1"/>
  <c r="K71" i="1"/>
  <c r="K72" i="1"/>
  <c r="L72" i="1" s="1"/>
  <c r="K73" i="1"/>
  <c r="L73" i="1" s="1"/>
  <c r="K74" i="1"/>
  <c r="K75" i="1"/>
  <c r="L75" i="1" s="1"/>
  <c r="K76" i="1"/>
  <c r="L52" i="1"/>
  <c r="L53" i="1"/>
  <c r="L55" i="1"/>
  <c r="L57" i="1"/>
  <c r="L58" i="1"/>
  <c r="L60" i="1"/>
  <c r="L61" i="1"/>
  <c r="L63" i="1"/>
  <c r="L66" i="1"/>
  <c r="L68" i="1"/>
  <c r="L69" i="1"/>
  <c r="L71" i="1"/>
  <c r="L74" i="1"/>
  <c r="L76" i="1"/>
  <c r="K27" i="1"/>
  <c r="L27" i="1" s="1"/>
  <c r="K28" i="1"/>
  <c r="K29" i="1"/>
  <c r="K30" i="1"/>
  <c r="K31" i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K39" i="1"/>
  <c r="L39" i="1" s="1"/>
  <c r="K40" i="1"/>
  <c r="K41" i="1"/>
  <c r="L41" i="1" s="1"/>
  <c r="K42" i="1"/>
  <c r="L42" i="1" s="1"/>
  <c r="K43" i="1"/>
  <c r="L43" i="1" s="1"/>
  <c r="K44" i="1"/>
  <c r="L44" i="1" s="1"/>
  <c r="K45" i="1"/>
  <c r="L45" i="1" s="1"/>
  <c r="K46" i="1"/>
  <c r="K47" i="1"/>
  <c r="L47" i="1" s="1"/>
  <c r="K48" i="1"/>
  <c r="L48" i="1" s="1"/>
  <c r="K49" i="1"/>
  <c r="L49" i="1" s="1"/>
  <c r="K50" i="1"/>
  <c r="L50" i="1" s="1"/>
  <c r="K51" i="1"/>
  <c r="L28" i="1"/>
  <c r="L29" i="1"/>
  <c r="L30" i="1"/>
  <c r="L31" i="1"/>
  <c r="L38" i="1"/>
  <c r="L40" i="1"/>
  <c r="L46" i="1"/>
  <c r="L51" i="1"/>
  <c r="K16" i="1"/>
  <c r="L16" i="1" s="1"/>
  <c r="K17" i="1"/>
  <c r="L17" i="1" s="1"/>
  <c r="K18" i="1"/>
  <c r="L18" i="1" s="1"/>
  <c r="K19" i="1"/>
  <c r="K20" i="1"/>
  <c r="K21" i="1"/>
  <c r="L21" i="1" s="1"/>
  <c r="K22" i="1"/>
  <c r="L22" i="1" s="1"/>
  <c r="K23" i="1"/>
  <c r="L23" i="1" s="1"/>
  <c r="K24" i="1"/>
  <c r="K25" i="1"/>
  <c r="L25" i="1" s="1"/>
  <c r="K26" i="1"/>
  <c r="L26" i="1" s="1"/>
  <c r="L19" i="1"/>
  <c r="L20" i="1"/>
  <c r="L24" i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/>
  <c r="D4" i="3"/>
  <c r="F4" i="3" s="1"/>
  <c r="D3" i="3"/>
  <c r="F3" i="3" s="1"/>
  <c r="K3" i="1"/>
  <c r="L3" i="1" s="1"/>
  <c r="K4" i="1"/>
  <c r="L4" i="1" s="1"/>
  <c r="K5" i="1"/>
  <c r="L5" i="1" s="1"/>
  <c r="L2" i="1"/>
  <c r="K2" i="1"/>
  <c r="D10" i="3"/>
  <c r="D9" i="3"/>
  <c r="D8" i="3"/>
  <c r="D2" i="3"/>
  <c r="D6" i="7" l="1"/>
  <c r="F6" i="7" s="1"/>
  <c r="F8" i="7" s="1"/>
  <c r="D8" i="7"/>
  <c r="B8" i="7"/>
  <c r="F9" i="3"/>
  <c r="E3" i="3"/>
  <c r="E4" i="3"/>
</calcChain>
</file>

<file path=xl/sharedStrings.xml><?xml version="1.0" encoding="utf-8"?>
<sst xmlns="http://schemas.openxmlformats.org/spreadsheetml/2006/main" count="355" uniqueCount="139">
  <si>
    <t>Transaction_ID</t>
  </si>
  <si>
    <t>Date</t>
  </si>
  <si>
    <t>Channel</t>
  </si>
  <si>
    <t>Category</t>
  </si>
  <si>
    <t>Units_Sold</t>
  </si>
  <si>
    <t>Gross_Revenue</t>
  </si>
  <si>
    <t>Discounts</t>
  </si>
  <si>
    <t>COGS</t>
  </si>
  <si>
    <t>Shipping_Cost</t>
  </si>
  <si>
    <t>Gateway_Commission</t>
  </si>
  <si>
    <t>TXN1001</t>
  </si>
  <si>
    <t>Sneakers</t>
  </si>
  <si>
    <t>TXN1002</t>
  </si>
  <si>
    <t>Marketplace</t>
  </si>
  <si>
    <t>Apparel</t>
  </si>
  <si>
    <t>TXN1003</t>
  </si>
  <si>
    <t>Retail Store</t>
  </si>
  <si>
    <t>Accessories</t>
  </si>
  <si>
    <t>TXN1004</t>
  </si>
  <si>
    <t>Shopify</t>
  </si>
  <si>
    <t>Net_Sales</t>
  </si>
  <si>
    <t>Contribution_Margin</t>
  </si>
  <si>
    <t>Row Labels</t>
  </si>
  <si>
    <t>Grand Total</t>
  </si>
  <si>
    <t>Sum of Gross_Revenue</t>
  </si>
  <si>
    <t>Sum of Net_Sales</t>
  </si>
  <si>
    <t>Sum of Contribution_Margin</t>
  </si>
  <si>
    <t>Metric</t>
  </si>
  <si>
    <t>Budgeted_Target</t>
  </si>
  <si>
    <t>Actual_Performance</t>
  </si>
  <si>
    <t>Variance_Amount</t>
  </si>
  <si>
    <t>Variance_Percentage</t>
  </si>
  <si>
    <t>Net Sales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</si>
  <si>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</si>
  <si>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</si>
  <si>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</si>
  <si>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</si>
  <si>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</si>
  <si>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</si>
  <si>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</si>
  <si>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</si>
  <si>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</si>
  <si>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</si>
  <si>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</si>
  <si>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</si>
  <si>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</si>
  <si>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</si>
  <si>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</si>
  <si>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</si>
  <si>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</si>
  <si>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</si>
  <si>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</si>
  <si>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</si>
  <si>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</si>
  <si>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</si>
  <si>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</si>
  <si>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</si>
  <si>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</si>
  <si>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</si>
  <si>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</si>
  <si>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</si>
  <si>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</si>
  <si>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</si>
  <si>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</si>
  <si>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</si>
  <si>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</si>
  <si>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</si>
  <si>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</si>
  <si>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</si>
  <si>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</si>
  <si>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</si>
  <si>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</si>
  <si>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</si>
  <si>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</si>
  <si>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</si>
  <si>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</si>
  <si>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</si>
  <si>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</si>
  <si>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</si>
  <si>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</si>
  <si>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</si>
  <si>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</si>
  <si>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</si>
  <si>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</si>
  <si>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</si>
  <si>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</si>
  <si>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</si>
  <si>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</si>
  <si>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</si>
  <si>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</si>
  <si>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</si>
  <si>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</si>
  <si>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</si>
  <si>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</si>
  <si>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</si>
  <si>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</si>
  <si>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</si>
  <si>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</si>
  <si>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</si>
  <si>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</si>
  <si>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</si>
  <si>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</si>
  <si>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</si>
  <si>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</si>
  <si>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</si>
  <si>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</si>
  <si>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</si>
  <si>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</si>
  <si>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</si>
  <si>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</si>
  <si>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</si>
  <si>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</si>
  <si>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</si>
  <si>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</si>
  <si>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</si>
  <si>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</si>
  <si>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</si>
  <si>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</si>
  <si>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</si>
  <si>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</si>
  <si>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</si>
  <si>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</si>
  <si>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</si>
  <si>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</si>
  <si>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</si>
  <si>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</si>
  <si>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</si>
  <si>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</si>
  <si>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Contribution Margin</t>
  </si>
  <si>
    <t>Total Net Sales</t>
  </si>
  <si>
    <t>Total Contribution Margin</t>
  </si>
  <si>
    <t>Multi-Channel D2C Executive Dashboard (June 2026 – October 2026)</t>
  </si>
  <si>
    <t>D2C Cash Settlement &amp; Payout Reconciliation (June – October 2026)</t>
  </si>
  <si>
    <t>Actual Net Sales</t>
  </si>
  <si>
    <t>Gateway / Commission Fees (%)</t>
  </si>
  <si>
    <t>Deduction Amount</t>
  </si>
  <si>
    <t>COD Reserve Holdback</t>
  </si>
  <si>
    <t>Net Bank Payout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</si>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</sst>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9" fontId="0" fillId="0" borderId="0" xfId="1" applyFont="1" applyAlignment="1">
      <alignment horizontal="center" vertical="center"/>
    </xf>
    <xf numFmtId="0" fontId="2" fillId="0" borderId="0" xfId="0" applyFont="1"/>
    <xf numFmtId="164" fontId="0" fillId="2" borderId="3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Sales: Budget vs. Actual by Channel</a:t>
            </a:r>
            <a:endParaRPr lang="en-IN"/>
          </a:p>
        </c:rich>
      </c:tx>
      <c:layout>
        <c:manualLayout>
          <c:xMode val="edge"/>
          <c:yMode val="edge"/>
          <c:x val="0.1882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Budget_Variance!$C$1</c:f>
              <c:strCache>
                <c:ptCount val="1"/>
                <c:pt idx="0">
                  <c:v>Budgeted_Target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Budget_Variance!$A$2:$B$4</c:f>
              <c:multiLvlStrCache>
                <c:ptCount val="3"/>
                <c:lvl>
                  <c:pt idx="0">
                    <c:v>Net Sales</c:v>
                  </c:pt>
                  <c:pt idx="1">
                    <c:v>Net Sales</c:v>
                  </c:pt>
                  <c:pt idx="2">
                    <c:v>Net Sales</c:v>
                  </c:pt>
                </c:lvl>
                <c:lvl>
                  <c:pt idx="0">
                    <c:v>Shopify</c:v>
                  </c:pt>
                  <c:pt idx="1">
                    <c:v>Marketplace</c:v>
                  </c:pt>
                  <c:pt idx="2">
                    <c:v>Retail Store</c:v>
                  </c:pt>
                </c:lvl>
              </c:multiLvlStrCache>
            </c:multiLvlStrRef>
          </c:cat>
          <c:val>
            <c:numRef>
              <c:f>Budget_Variance!$C$2:$C$4</c:f>
              <c:numCache>
                <c:formatCode>General</c:formatCode>
                <c:ptCount val="3"/>
                <c:pt idx="0">
                  <c:v>350000</c:v>
                </c:pt>
                <c:pt idx="1">
                  <c:v>375000</c:v>
                </c:pt>
                <c:pt idx="2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B-40EF-89CA-50442D9C1DCA}"/>
            </c:ext>
          </c:extLst>
        </c:ser>
        <c:ser>
          <c:idx val="1"/>
          <c:order val="1"/>
          <c:tx>
            <c:strRef>
              <c:f>Budget_Variance!$D$1</c:f>
              <c:strCache>
                <c:ptCount val="1"/>
                <c:pt idx="0">
                  <c:v>Actual_Performance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Budget_Variance!$A$2:$B$4</c:f>
              <c:multiLvlStrCache>
                <c:ptCount val="3"/>
                <c:lvl>
                  <c:pt idx="0">
                    <c:v>Net Sales</c:v>
                  </c:pt>
                  <c:pt idx="1">
                    <c:v>Net Sales</c:v>
                  </c:pt>
                  <c:pt idx="2">
                    <c:v>Net Sales</c:v>
                  </c:pt>
                </c:lvl>
                <c:lvl>
                  <c:pt idx="0">
                    <c:v>Shopify</c:v>
                  </c:pt>
                  <c:pt idx="1">
                    <c:v>Marketplace</c:v>
                  </c:pt>
                  <c:pt idx="2">
                    <c:v>Retail Store</c:v>
                  </c:pt>
                </c:lvl>
              </c:multiLvlStrCache>
            </c:multiLvlStrRef>
          </c:cat>
          <c:val>
            <c:numRef>
              <c:f>Budget_Variance!$D$2:$D$4</c:f>
              <c:numCache>
                <c:formatCode>General</c:formatCode>
                <c:ptCount val="3"/>
                <c:pt idx="0">
                  <c:v>397900</c:v>
                </c:pt>
                <c:pt idx="1">
                  <c:v>391100</c:v>
                </c:pt>
                <c:pt idx="2">
                  <c:v>234500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B-40EF-89CA-50442D9C1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83967"/>
        <c:axId val="226576191"/>
      </c:barChart>
      <c:catAx>
        <c:axId val="9088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576191"/>
        <c:crosses val="autoZero"/>
        <c:auto val="1"/>
        <c:lblAlgn val="ctr"/>
        <c:lblOffset val="100"/>
        <c:noMultiLvlLbl val="0"/>
      </c:catAx>
      <c:valAx>
        <c:axId val="2265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Contribution Margin Share by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64-42BD-B037-9A01475722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64-42BD-B037-9A01475722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64-42BD-B037-9A0147572233}"/>
              </c:ext>
            </c:extLst>
          </c:dPt>
          <c:cat>
            <c:strRef>
              <c:f>Budget_Variance!$A$8:$A$10</c:f>
              <c:strCache>
                <c:ptCount val="3"/>
                <c:pt idx="0">
                  <c:v>Shopify</c:v>
                </c:pt>
                <c:pt idx="1">
                  <c:v>Marketplace</c:v>
                </c:pt>
                <c:pt idx="2">
                  <c:v>Retail Store</c:v>
                </c:pt>
              </c:strCache>
            </c:strRef>
          </c:cat>
          <c:val>
            <c:numRef>
              <c:f>Budget_Variance!$D$8:$D$10</c:f>
              <c:numCache>
                <c:formatCode>General</c:formatCode>
                <c:ptCount val="3"/>
                <c:pt idx="0">
                  <c:v>141885</c:v>
                </c:pt>
                <c:pt idx="1">
                  <c:v>98740</c:v>
                </c:pt>
                <c:pt idx="2">
                  <c:v>97271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64-42BD-B037-9A014757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Contribution Margin: Budget vs. Actual by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Budget_Variance!$C$1</c:f>
              <c:strCache>
                <c:ptCount val="1"/>
                <c:pt idx="0">
                  <c:v>Budgeted_Target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Budget_Variance!$A$8:$A$10</c:f>
              <c:strCache>
                <c:ptCount val="3"/>
                <c:pt idx="0">
                  <c:v>Shopify</c:v>
                </c:pt>
                <c:pt idx="1">
                  <c:v>Marketplace</c:v>
                </c:pt>
                <c:pt idx="2">
                  <c:v>Retail Store</c:v>
                </c:pt>
              </c:strCache>
            </c:strRef>
          </c:cat>
          <c:val>
            <c:numRef>
              <c:f>Budget_Variance!$C$8:$C$10</c:f>
              <c:numCache>
                <c:formatCode>General</c:formatCode>
                <c:ptCount val="3"/>
                <c:pt idx="0">
                  <c:v>130000</c:v>
                </c:pt>
                <c:pt idx="1">
                  <c:v>95000</c:v>
                </c:pt>
                <c:pt idx="2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8-49FF-A853-AA3C5043AE4B}"/>
            </c:ext>
          </c:extLst>
        </c:ser>
        <c:ser>
          <c:idx val="1"/>
          <c:order val="1"/>
          <c:tx>
            <c:strRef>
              <c:f>Budget_Variance!$D$1</c:f>
              <c:strCache>
                <c:ptCount val="1"/>
                <c:pt idx="0">
                  <c:v>Actual_Performance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Budget_Variance!$A$8:$A$10</c:f>
              <c:strCache>
                <c:ptCount val="3"/>
                <c:pt idx="0">
                  <c:v>Shopify</c:v>
                </c:pt>
                <c:pt idx="1">
                  <c:v>Marketplace</c:v>
                </c:pt>
                <c:pt idx="2">
                  <c:v>Retail Store</c:v>
                </c:pt>
              </c:strCache>
            </c:strRef>
          </c:cat>
          <c:val>
            <c:numRef>
              <c:f>Budget_Variance!$D$8:$D$10</c:f>
              <c:numCache>
                <c:formatCode>General</c:formatCode>
                <c:ptCount val="3"/>
                <c:pt idx="0">
                  <c:v>141885</c:v>
                </c:pt>
                <c:pt idx="1">
                  <c:v>98740</c:v>
                </c:pt>
                <c:pt idx="2">
                  <c:v>97271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8-49FF-A853-AA3C5043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244575"/>
        <c:axId val="226600191"/>
      </c:barChart>
      <c:catAx>
        <c:axId val="2352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00191"/>
        <c:crosses val="autoZero"/>
        <c:auto val="1"/>
        <c:lblAlgn val="ctr"/>
        <c:lblOffset val="100"/>
        <c:noMultiLvlLbl val="0"/>
      </c:catAx>
      <c:valAx>
        <c:axId val="2266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85725</xdr:rowOff>
    </xdr:from>
    <xdr:to>
      <xdr:col>3</xdr:col>
      <xdr:colOff>600075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6D10C-B3F0-4286-A2E8-EE736E608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4</xdr:row>
      <xdr:rowOff>85725</xdr:rowOff>
    </xdr:from>
    <xdr:to>
      <xdr:col>8</xdr:col>
      <xdr:colOff>476250</xdr:colOff>
      <xdr:row>17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1298B-72C0-413D-8268-2BB3A7CE8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4</xdr:row>
      <xdr:rowOff>85725</xdr:rowOff>
    </xdr:from>
    <xdr:to>
      <xdr:col>14</xdr:col>
      <xdr:colOff>495300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189776-C5F0-4E6F-9C91-E5195157C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chit Arora" refreshedDate="46320.61637314815" createdVersion="8" refreshedVersion="8" minRefreshableVersion="3" recordCount="99" xr:uid="{AC186859-9CF9-4059-B378-84EF88C210F0}">
  <cacheSource type="worksheet">
    <worksheetSource name="Table2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6-06-01T00:00:00" maxDate="2026-10-03T00:00:00"/>
    </cacheField>
    <cacheField name="Channel" numFmtId="0">
      <sharedItems count="3">
        <s v="Shopify"/>
        <s v="Marketplace"/>
        <s v="Retail Store"/>
      </sharedItems>
    </cacheField>
    <cacheField name="Category" numFmtId="0">
      <sharedItems/>
    </cacheField>
    <cacheField name="Units_Sold" numFmtId="0">
      <sharedItems containsSemiMixedTypes="0" containsString="0" containsNumber="1" containsInteger="1" minValue="1" maxValue="4"/>
    </cacheField>
    <cacheField name="Gross_Revenue" numFmtId="0">
      <sharedItems containsSemiMixedTypes="0" containsString="0" containsNumber="1" containsInteger="1" minValue="1000" maxValue="36000"/>
    </cacheField>
    <cacheField name="Discounts" numFmtId="0">
      <sharedItems containsSemiMixedTypes="0" containsString="0" containsNumber="1" containsInteger="1" minValue="0" maxValue="2000"/>
    </cacheField>
    <cacheField name="COGS" numFmtId="0">
      <sharedItems containsSemiMixedTypes="0" containsString="0" containsNumber="1" containsInteger="1" minValue="368" maxValue="22140"/>
    </cacheField>
    <cacheField name="Shipping_Cost" numFmtId="0">
      <sharedItems containsSemiMixedTypes="0" containsString="0" containsNumber="1" containsInteger="1" minValue="0" maxValue="500"/>
    </cacheField>
    <cacheField name="Gateway_Commission" numFmtId="0">
      <sharedItems containsSemiMixedTypes="0" containsString="0" containsNumber="1" containsInteger="1" minValue="30" maxValue="5250"/>
    </cacheField>
    <cacheField name="Net_Sales" numFmtId="0">
      <sharedItems containsSemiMixedTypes="0" containsString="0" containsNumber="1" containsInteger="1" minValue="1000" maxValue="35000"/>
    </cacheField>
    <cacheField name="Contribution_Margin" numFmtId="0">
      <sharedItems containsSemiMixedTypes="0" containsString="0" containsNumber="1" containsInteger="1" minValue="382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TXN1001"/>
    <d v="2026-10-01T00:00:00"/>
    <x v="0"/>
    <s v="Sneakers"/>
    <n v="1"/>
    <n v="12000"/>
    <n v="1000"/>
    <n v="7000"/>
    <n v="250"/>
    <n v="360"/>
    <n v="11000"/>
    <n v="3390"/>
  </r>
  <r>
    <s v="TXN1002"/>
    <d v="2026-10-01T00:00:00"/>
    <x v="1"/>
    <s v="Apparel"/>
    <n v="2"/>
    <n v="4500"/>
    <n v="200"/>
    <n v="2200"/>
    <n v="150"/>
    <n v="675"/>
    <n v="4300"/>
    <n v="1275"/>
  </r>
  <r>
    <s v="TXN1003"/>
    <d v="2026-10-02T00:00:00"/>
    <x v="2"/>
    <s v="Accessories"/>
    <n v="1"/>
    <n v="2500"/>
    <n v="0"/>
    <n v="1000"/>
    <n v="0"/>
    <n v="50"/>
    <n v="2500"/>
    <n v="1450"/>
  </r>
  <r>
    <s v="TXN1004"/>
    <d v="2026-10-02T00:00:00"/>
    <x v="0"/>
    <s v="Sneakers"/>
    <n v="1"/>
    <n v="15000"/>
    <n v="1500"/>
    <n v="9000"/>
    <n v="250"/>
    <n v="450"/>
    <n v="13500"/>
    <n v="3800"/>
  </r>
  <r>
    <s v="TXN1005"/>
    <d v="2026-06-01T00:00:00"/>
    <x v="0"/>
    <s v="Accessories"/>
    <n v="1"/>
    <n v="1500"/>
    <n v="0"/>
    <n v="620"/>
    <n v="100"/>
    <n v="45"/>
    <n v="1500"/>
    <n v="735"/>
  </r>
  <r>
    <s v="TXN1006"/>
    <d v="2026-06-01T00:00:00"/>
    <x v="2"/>
    <s v="Sneakers"/>
    <n v="1"/>
    <n v="18000"/>
    <n v="0"/>
    <n v="9945"/>
    <n v="0"/>
    <n v="360"/>
    <n v="18000"/>
    <n v="7695"/>
  </r>
  <r>
    <s v="TXN1007"/>
    <d v="2026-06-02T00:00:00"/>
    <x v="1"/>
    <s v="Sneakers"/>
    <n v="2"/>
    <n v="24000"/>
    <n v="0"/>
    <n v="13860"/>
    <n v="400"/>
    <n v="3600"/>
    <n v="24000"/>
    <n v="6140"/>
  </r>
  <r>
    <s v="TXN1008"/>
    <d v="2026-06-03T00:00:00"/>
    <x v="1"/>
    <s v="Sneakers"/>
    <n v="1"/>
    <n v="15000"/>
    <n v="0"/>
    <n v="8584"/>
    <n v="200"/>
    <n v="2250"/>
    <n v="15000"/>
    <n v="3966"/>
  </r>
  <r>
    <s v="TXN1009"/>
    <d v="2026-06-04T00:00:00"/>
    <x v="0"/>
    <s v="Accessories"/>
    <n v="1"/>
    <n v="1000"/>
    <n v="0"/>
    <n v="423"/>
    <n v="100"/>
    <n v="30"/>
    <n v="1000"/>
    <n v="447"/>
  </r>
  <r>
    <s v="TXN1010"/>
    <d v="2026-06-05T00:00:00"/>
    <x v="0"/>
    <s v="Sneakers"/>
    <n v="1"/>
    <n v="8000"/>
    <n v="500"/>
    <n v="4941"/>
    <n v="250"/>
    <n v="240"/>
    <n v="7500"/>
    <n v="2069"/>
  </r>
  <r>
    <s v="TXN1011"/>
    <d v="2026-06-06T00:00:00"/>
    <x v="0"/>
    <s v="Apparel"/>
    <n v="1"/>
    <n v="3500"/>
    <n v="0"/>
    <n v="1712"/>
    <n v="150"/>
    <n v="105"/>
    <n v="3500"/>
    <n v="1533"/>
  </r>
  <r>
    <s v="TXN1012"/>
    <d v="2026-06-07T00:00:00"/>
    <x v="2"/>
    <s v="Apparel"/>
    <n v="1"/>
    <n v="3500"/>
    <n v="0"/>
    <n v="1430"/>
    <n v="0"/>
    <n v="70"/>
    <n v="3500"/>
    <n v="2000"/>
  </r>
  <r>
    <s v="TXN1013"/>
    <d v="2026-06-08T00:00:00"/>
    <x v="1"/>
    <s v="Sneakers"/>
    <n v="1"/>
    <n v="22000"/>
    <n v="0"/>
    <n v="13028"/>
    <n v="200"/>
    <n v="3300"/>
    <n v="22000"/>
    <n v="5472"/>
  </r>
  <r>
    <s v="TXN1014"/>
    <d v="2026-06-09T00:00:00"/>
    <x v="1"/>
    <s v="Apparel"/>
    <n v="3"/>
    <n v="13500"/>
    <n v="200"/>
    <n v="5440"/>
    <n v="450"/>
    <n v="2025"/>
    <n v="13300"/>
    <n v="5385"/>
  </r>
  <r>
    <s v="TXN1015"/>
    <d v="2026-06-10T00:00:00"/>
    <x v="0"/>
    <s v="Sneakers"/>
    <n v="1"/>
    <n v="12000"/>
    <n v="1000"/>
    <n v="6800"/>
    <n v="250"/>
    <n v="360"/>
    <n v="11000"/>
    <n v="3590"/>
  </r>
  <r>
    <s v="TXN1016"/>
    <d v="2026-06-11T00:00:00"/>
    <x v="2"/>
    <s v="Accessories"/>
    <n v="2"/>
    <n v="5000"/>
    <n v="0"/>
    <n v="2100"/>
    <n v="0"/>
    <n v="100"/>
    <n v="5000"/>
    <n v="2800"/>
  </r>
  <r>
    <s v="TXN1017"/>
    <d v="2026-06-12T00:00:00"/>
    <x v="1"/>
    <s v="Sneakers"/>
    <n v="1"/>
    <n v="18000"/>
    <n v="1500"/>
    <n v="10200"/>
    <n v="200"/>
    <n v="2700"/>
    <n v="16500"/>
    <n v="3400"/>
  </r>
  <r>
    <s v="TXN1018"/>
    <d v="2026-06-14T00:00:00"/>
    <x v="0"/>
    <s v="Apparel"/>
    <n v="2"/>
    <n v="7000"/>
    <n v="500"/>
    <n v="3100"/>
    <n v="300"/>
    <n v="210"/>
    <n v="6500"/>
    <n v="2890"/>
  </r>
  <r>
    <s v="TXN1019"/>
    <d v="2026-06-15T00:00:00"/>
    <x v="0"/>
    <s v="Sneakers"/>
    <n v="1"/>
    <n v="15000"/>
    <n v="0"/>
    <n v="8400"/>
    <n v="250"/>
    <n v="450"/>
    <n v="15000"/>
    <n v="5900"/>
  </r>
  <r>
    <s v="TXN1020"/>
    <d v="2026-06-17T00:00:00"/>
    <x v="2"/>
    <s v="Sneakers"/>
    <n v="1"/>
    <n v="22000"/>
    <n v="1000"/>
    <n v="12500"/>
    <n v="0"/>
    <n v="440"/>
    <n v="21000"/>
    <n v="8060"/>
  </r>
  <r>
    <s v="TXN1021"/>
    <d v="2026-06-18T00:00:00"/>
    <x v="1"/>
    <s v="Accessories"/>
    <n v="4"/>
    <n v="4000"/>
    <n v="200"/>
    <n v="1600"/>
    <n v="400"/>
    <n v="600"/>
    <n v="3800"/>
    <n v="1200"/>
  </r>
  <r>
    <s v="TXN1022"/>
    <d v="2026-06-20T00:00:00"/>
    <x v="0"/>
    <s v="Sneakers"/>
    <n v="2"/>
    <n v="30000"/>
    <n v="2000"/>
    <n v="17000"/>
    <n v="500"/>
    <n v="900"/>
    <n v="28000"/>
    <n v="9600"/>
  </r>
  <r>
    <s v="TXN1023"/>
    <d v="2026-06-22T00:00:00"/>
    <x v="1"/>
    <s v="Apparel"/>
    <n v="1"/>
    <n v="4500"/>
    <n v="0"/>
    <n v="2000"/>
    <n v="150"/>
    <n v="675"/>
    <n v="4500"/>
    <n v="1675"/>
  </r>
  <r>
    <s v="TXN1024"/>
    <d v="2026-06-25T00:00:00"/>
    <x v="2"/>
    <s v="Apparel"/>
    <n v="2"/>
    <n v="9000"/>
    <n v="500"/>
    <n v="4100"/>
    <n v="0"/>
    <n v="180"/>
    <n v="8500"/>
    <n v="4220"/>
  </r>
  <r>
    <s v="TXN1025"/>
    <d v="2026-06-28T00:00:00"/>
    <x v="0"/>
    <s v="Sneakers"/>
    <n v="1"/>
    <n v="12000"/>
    <n v="500"/>
    <n v="6700"/>
    <n v="250"/>
    <n v="360"/>
    <n v="11500"/>
    <n v="4190"/>
  </r>
  <r>
    <s v="TXN1026"/>
    <d v="2026-06-29T00:00:00"/>
    <x v="0"/>
    <s v="Apparel"/>
    <n v="1"/>
    <n v="2500"/>
    <n v="0"/>
    <n v="1009"/>
    <n v="150"/>
    <n v="75"/>
    <n v="2500"/>
    <n v="1266"/>
  </r>
  <r>
    <s v="TXN1027"/>
    <d v="2026-06-30T00:00:00"/>
    <x v="2"/>
    <s v="Sneakers"/>
    <n v="1"/>
    <n v="12000"/>
    <n v="0"/>
    <n v="7674"/>
    <n v="0"/>
    <n v="240"/>
    <n v="12000"/>
    <n v="4086"/>
  </r>
  <r>
    <s v="TXN1028"/>
    <d v="2026-07-01T00:00:00"/>
    <x v="1"/>
    <s v="Sneakers"/>
    <n v="1"/>
    <n v="15000"/>
    <n v="500"/>
    <n v="9450"/>
    <n v="200"/>
    <n v="2175"/>
    <n v="14500"/>
    <n v="2675"/>
  </r>
  <r>
    <s v="TXN1029"/>
    <d v="2026-07-02T00:00:00"/>
    <x v="0"/>
    <s v="Accessories"/>
    <n v="2"/>
    <n v="3000"/>
    <n v="0"/>
    <n v="1293"/>
    <n v="200"/>
    <n v="90"/>
    <n v="3000"/>
    <n v="1417"/>
  </r>
  <r>
    <s v="TXN1030"/>
    <d v="2026-07-03T00:00:00"/>
    <x v="1"/>
    <s v="Apparel"/>
    <n v="2"/>
    <n v="7000"/>
    <n v="200"/>
    <n v="2877"/>
    <n v="300"/>
    <n v="1020"/>
    <n v="6800"/>
    <n v="2603"/>
  </r>
  <r>
    <s v="TXN1031"/>
    <d v="2026-07-04T00:00:00"/>
    <x v="0"/>
    <s v="Sneakers"/>
    <n v="1"/>
    <n v="15000"/>
    <n v="1000"/>
    <n v="8850"/>
    <n v="250"/>
    <n v="420"/>
    <n v="14000"/>
    <n v="4480"/>
  </r>
  <r>
    <s v="TXN1032"/>
    <d v="2026-07-05T00:00:00"/>
    <x v="2"/>
    <s v="Apparel"/>
    <n v="1"/>
    <n v="3500"/>
    <n v="0"/>
    <n v="1578"/>
    <n v="0"/>
    <n v="70"/>
    <n v="3500"/>
    <n v="1852"/>
  </r>
  <r>
    <s v="TXN1033"/>
    <d v="2026-07-06T00:00:00"/>
    <x v="1"/>
    <s v="Sneakers"/>
    <n v="1"/>
    <n v="18000"/>
    <n v="0"/>
    <n v="10584"/>
    <n v="200"/>
    <n v="2700"/>
    <n v="18000"/>
    <n v="4516"/>
  </r>
  <r>
    <s v="TXN1034"/>
    <d v="2026-07-07T00:00:00"/>
    <x v="0"/>
    <s v="Apparel"/>
    <n v="3"/>
    <n v="10500"/>
    <n v="500"/>
    <n v="4435"/>
    <n v="450"/>
    <n v="300"/>
    <n v="10000"/>
    <n v="4815"/>
  </r>
  <r>
    <s v="TXN1035"/>
    <d v="2026-07-08T00:00:00"/>
    <x v="0"/>
    <s v="Sneakers"/>
    <n v="1"/>
    <n v="22000"/>
    <n v="1500"/>
    <n v="13365"/>
    <n v="250"/>
    <n v="615"/>
    <n v="20500"/>
    <n v="6270"/>
  </r>
  <r>
    <s v="TXN1036"/>
    <d v="2026-07-09T00:00:00"/>
    <x v="2"/>
    <s v="Accessories"/>
    <n v="1"/>
    <n v="1500"/>
    <n v="0"/>
    <n v="652"/>
    <n v="0"/>
    <n v="30"/>
    <n v="1500"/>
    <n v="818"/>
  </r>
  <r>
    <s v="TXN1037"/>
    <d v="2026-07-10T00:00:00"/>
    <x v="1"/>
    <s v="Accessories"/>
    <n v="1"/>
    <n v="1000"/>
    <n v="0"/>
    <n v="368"/>
    <n v="100"/>
    <n v="150"/>
    <n v="1000"/>
    <n v="382"/>
  </r>
  <r>
    <s v="TXN1038"/>
    <d v="2026-07-11T00:00:00"/>
    <x v="0"/>
    <s v="Sneakers"/>
    <n v="2"/>
    <n v="24000"/>
    <n v="2000"/>
    <n v="14880"/>
    <n v="500"/>
    <n v="660"/>
    <n v="22000"/>
    <n v="5960"/>
  </r>
  <r>
    <s v="TXN1039"/>
    <d v="2026-07-12T00:00:00"/>
    <x v="1"/>
    <s v="Apparel"/>
    <n v="1"/>
    <n v="4500"/>
    <n v="0"/>
    <n v="2110"/>
    <n v="150"/>
    <n v="675"/>
    <n v="4500"/>
    <n v="1565"/>
  </r>
  <r>
    <s v="TXN1040"/>
    <d v="2026-07-13T00:00:00"/>
    <x v="2"/>
    <s v="Sneakers"/>
    <n v="1"/>
    <n v="18000"/>
    <n v="1000"/>
    <n v="11340"/>
    <n v="0"/>
    <n v="340"/>
    <n v="17000"/>
    <n v="5320"/>
  </r>
  <r>
    <s v="TXN1041"/>
    <d v="2026-07-14T00:00:00"/>
    <x v="0"/>
    <s v="Accessories"/>
    <n v="1"/>
    <n v="2500"/>
    <n v="0"/>
    <n v="1040"/>
    <n v="100"/>
    <n v="75"/>
    <n v="2500"/>
    <n v="1285"/>
  </r>
  <r>
    <s v="TXN1042"/>
    <d v="2026-07-15T00:00:00"/>
    <x v="1"/>
    <s v="Sneakers"/>
    <n v="1"/>
    <n v="12000"/>
    <n v="0"/>
    <n v="7428"/>
    <n v="200"/>
    <n v="1800"/>
    <n v="12000"/>
    <n v="2572"/>
  </r>
  <r>
    <s v="TXN1043"/>
    <d v="2026-07-16T00:00:00"/>
    <x v="0"/>
    <s v="Apparel"/>
    <n v="2"/>
    <n v="6000"/>
    <n v="200"/>
    <n v="2600"/>
    <n v="300"/>
    <n v="174"/>
    <n v="5800"/>
    <n v="2726"/>
  </r>
  <r>
    <s v="TXN1044"/>
    <d v="2026-07-16T00:00:00"/>
    <x v="2"/>
    <s v="Apparel"/>
    <n v="2"/>
    <n v="7000"/>
    <n v="0"/>
    <n v="3080"/>
    <n v="0"/>
    <n v="140"/>
    <n v="7000"/>
    <n v="3780"/>
  </r>
  <r>
    <s v="TXN1045"/>
    <d v="2026-07-17T00:00:00"/>
    <x v="0"/>
    <s v="Sneakers"/>
    <n v="1"/>
    <n v="8000"/>
    <n v="0"/>
    <n v="4824"/>
    <n v="250"/>
    <n v="240"/>
    <n v="8000"/>
    <n v="2686"/>
  </r>
  <r>
    <s v="TXN1046"/>
    <d v="2026-07-17T00:00:00"/>
    <x v="1"/>
    <s v="Sneakers"/>
    <n v="2"/>
    <n v="36000"/>
    <n v="1000"/>
    <n v="22140"/>
    <n v="400"/>
    <n v="5250"/>
    <n v="35000"/>
    <n v="7210"/>
  </r>
  <r>
    <s v="TXN1047"/>
    <d v="2026-07-18T00:00:00"/>
    <x v="1"/>
    <s v="Accessories"/>
    <n v="2"/>
    <n v="2000"/>
    <n v="0"/>
    <n v="824"/>
    <n v="200"/>
    <n v="300"/>
    <n v="2000"/>
    <n v="676"/>
  </r>
  <r>
    <s v="TXN1048"/>
    <d v="2026-07-18T00:00:00"/>
    <x v="0"/>
    <s v="Accessories"/>
    <n v="1"/>
    <n v="1500"/>
    <n v="0"/>
    <n v="658"/>
    <n v="100"/>
    <n v="45"/>
    <n v="1500"/>
    <n v="697"/>
  </r>
  <r>
    <s v="TXN1049"/>
    <d v="2026-07-18T00:00:00"/>
    <x v="2"/>
    <s v="Sneakers"/>
    <n v="1"/>
    <n v="15000"/>
    <n v="500"/>
    <n v="9450"/>
    <n v="0"/>
    <n v="290"/>
    <n v="14500"/>
    <n v="4760"/>
  </r>
  <r>
    <s v="TXN1050"/>
    <d v="2026-07-18T00:00:00"/>
    <x v="0"/>
    <s v="Apparel"/>
    <n v="1"/>
    <n v="4500"/>
    <n v="500"/>
    <n v="2028"/>
    <n v="150"/>
    <n v="135"/>
    <n v="4000"/>
    <n v="1687"/>
  </r>
  <r>
    <s v="TXN1051"/>
    <d v="2026-07-19T00:00:00"/>
    <x v="1"/>
    <s v="Sneakers"/>
    <n v="1"/>
    <n v="22000"/>
    <n v="1500"/>
    <n v="13860"/>
    <n v="200"/>
    <n v="3075"/>
    <n v="20500"/>
    <n v="3365"/>
  </r>
  <r>
    <s v="TXN1052"/>
    <d v="2026-07-20T00:00:00"/>
    <x v="2"/>
    <s v="Accessories"/>
    <n v="2"/>
    <n v="3000"/>
    <n v="0"/>
    <n v="1260"/>
    <n v="0"/>
    <n v="60"/>
    <n v="3000"/>
    <n v="1680"/>
  </r>
  <r>
    <s v="TXN1053"/>
    <d v="2026-07-21T00:00:00"/>
    <x v="0"/>
    <s v="Sneakers"/>
    <n v="1"/>
    <n v="18000"/>
    <n v="1000"/>
    <n v="10620"/>
    <n v="250"/>
    <n v="510"/>
    <n v="17000"/>
    <n v="5620"/>
  </r>
  <r>
    <s v="TXN1054"/>
    <d v="2026-07-22T00:00:00"/>
    <x v="1"/>
    <s v="Apparel"/>
    <n v="1"/>
    <n v="6000"/>
    <n v="500"/>
    <n v="2640"/>
    <n v="150"/>
    <n v="825"/>
    <n v="5500"/>
    <n v="1885"/>
  </r>
  <r>
    <s v="TXN1055"/>
    <d v="2026-07-23T00:00:00"/>
    <x v="0"/>
    <s v="Apparel"/>
    <n v="2"/>
    <n v="9000"/>
    <n v="0"/>
    <n v="4230"/>
    <n v="300"/>
    <n v="270"/>
    <n v="9000"/>
    <n v="4200"/>
  </r>
  <r>
    <s v="TXN1056"/>
    <d v="2026-07-24T00:00:00"/>
    <x v="2"/>
    <s v="Sneakers"/>
    <n v="1"/>
    <n v="15000"/>
    <n v="0"/>
    <n v="8700"/>
    <n v="0"/>
    <n v="300"/>
    <n v="15000"/>
    <n v="6000"/>
  </r>
  <r>
    <s v="TXN1057"/>
    <d v="2026-07-25T00:00:00"/>
    <x v="1"/>
    <s v="Sneakers"/>
    <n v="1"/>
    <n v="12000"/>
    <n v="1000"/>
    <n v="6820"/>
    <n v="200"/>
    <n v="1650"/>
    <n v="11000"/>
    <n v="2330"/>
  </r>
  <r>
    <s v="TXN1058"/>
    <d v="2026-07-26T00:00:00"/>
    <x v="0"/>
    <s v="Accessories"/>
    <n v="3"/>
    <n v="4500"/>
    <n v="200"/>
    <n v="1890"/>
    <n v="300"/>
    <n v="129"/>
    <n v="4300"/>
    <n v="1981"/>
  </r>
  <r>
    <s v="TXN1059"/>
    <d v="2026-07-27T00:00:00"/>
    <x v="1"/>
    <s v="Accessories"/>
    <n v="1"/>
    <n v="2500"/>
    <n v="0"/>
    <n v="1025"/>
    <n v="100"/>
    <n v="375"/>
    <n v="2500"/>
    <n v="1000"/>
  </r>
  <r>
    <s v="TXN1060"/>
    <d v="2026-07-28T00:00:00"/>
    <x v="2"/>
    <s v="Apparel"/>
    <n v="1"/>
    <n v="4500"/>
    <n v="0"/>
    <n v="2070"/>
    <n v="0"/>
    <n v="90"/>
    <n v="4500"/>
    <n v="2340"/>
  </r>
  <r>
    <s v="TXN1061"/>
    <d v="2026-07-29T00:00:00"/>
    <x v="0"/>
    <s v="Sneakers"/>
    <n v="1"/>
    <n v="22000"/>
    <n v="2000"/>
    <n v="12200"/>
    <n v="250"/>
    <n v="600"/>
    <n v="20000"/>
    <n v="6950"/>
  </r>
  <r>
    <s v="TXN1062"/>
    <d v="2026-07-30T00:00:00"/>
    <x v="1"/>
    <s v="Apparel"/>
    <n v="2"/>
    <n v="12000"/>
    <n v="1000"/>
    <n v="5160"/>
    <n v="300"/>
    <n v="1650"/>
    <n v="11000"/>
    <n v="3890"/>
  </r>
  <r>
    <s v="TXN1063"/>
    <d v="2026-07-31T00:00:00"/>
    <x v="0"/>
    <s v="Apparel"/>
    <n v="1"/>
    <n v="3500"/>
    <n v="0"/>
    <n v="1540"/>
    <n v="150"/>
    <n v="105"/>
    <n v="3500"/>
    <n v="1705"/>
  </r>
  <r>
    <s v="TXN1064"/>
    <d v="2026-08-01T00:00:00"/>
    <x v="2"/>
    <s v="Sneakers"/>
    <n v="1"/>
    <n v="18000"/>
    <n v="500"/>
    <n v="10150"/>
    <n v="0"/>
    <n v="350"/>
    <n v="17500"/>
    <n v="7000"/>
  </r>
  <r>
    <s v="TXN1065"/>
    <d v="2026-08-02T00:00:00"/>
    <x v="1"/>
    <s v="Sneakers"/>
    <n v="2"/>
    <n v="30000"/>
    <n v="2000"/>
    <n v="17400"/>
    <n v="400"/>
    <n v="4200"/>
    <n v="28000"/>
    <n v="6000"/>
  </r>
  <r>
    <s v="TXN1066"/>
    <d v="2026-08-03T00:00:00"/>
    <x v="0"/>
    <s v="Sneakers"/>
    <n v="1"/>
    <n v="15000"/>
    <n v="0"/>
    <n v="9150"/>
    <n v="250"/>
    <n v="450"/>
    <n v="15000"/>
    <n v="5150"/>
  </r>
  <r>
    <s v="TXN1067"/>
    <d v="2026-08-04T00:00:00"/>
    <x v="0"/>
    <s v="Accessories"/>
    <n v="1"/>
    <n v="1000"/>
    <n v="0"/>
    <n v="410"/>
    <n v="100"/>
    <n v="30"/>
    <n v="1000"/>
    <n v="460"/>
  </r>
  <r>
    <s v="TXN1068"/>
    <d v="2026-08-05T00:00:00"/>
    <x v="2"/>
    <s v="Accessories"/>
    <n v="1"/>
    <n v="2500"/>
    <n v="0"/>
    <n v="1050"/>
    <n v="0"/>
    <n v="50"/>
    <n v="2500"/>
    <n v="1400"/>
  </r>
  <r>
    <s v="TXN1069"/>
    <d v="2026-08-06T00:00:00"/>
    <x v="1"/>
    <s v="Sneakers"/>
    <n v="1"/>
    <n v="8000"/>
    <n v="500"/>
    <n v="4880"/>
    <n v="200"/>
    <n v="1125"/>
    <n v="7500"/>
    <n v="1295"/>
  </r>
  <r>
    <s v="TXN1070"/>
    <d v="2026-08-07T00:00:00"/>
    <x v="0"/>
    <s v="Apparel"/>
    <n v="2"/>
    <n v="7000"/>
    <n v="500"/>
    <n v="3010"/>
    <n v="300"/>
    <n v="195"/>
    <n v="6500"/>
    <n v="2995"/>
  </r>
  <r>
    <s v="TXN1071"/>
    <d v="2026-08-08T00:00:00"/>
    <x v="1"/>
    <s v="Apparel"/>
    <n v="1"/>
    <n v="3500"/>
    <n v="0"/>
    <n v="1505"/>
    <n v="150"/>
    <n v="525"/>
    <n v="3500"/>
    <n v="1320"/>
  </r>
  <r>
    <s v="TXN1072"/>
    <d v="2026-08-09T00:00:00"/>
    <x v="2"/>
    <s v="Sneakers"/>
    <n v="1"/>
    <n v="22000"/>
    <n v="1000"/>
    <n v="12760"/>
    <n v="0"/>
    <n v="420"/>
    <n v="21000"/>
    <n v="7820"/>
  </r>
  <r>
    <s v="TXN1073"/>
    <d v="2026-08-10T00:00:00"/>
    <x v="0"/>
    <s v="Sneakers"/>
    <n v="1"/>
    <n v="12000"/>
    <n v="0"/>
    <n v="7200"/>
    <n v="250"/>
    <n v="360"/>
    <n v="12000"/>
    <n v="4190"/>
  </r>
  <r>
    <s v="TXN1074"/>
    <d v="2026-08-11T00:00:00"/>
    <x v="1"/>
    <s v="Accessories"/>
    <n v="2"/>
    <n v="5000"/>
    <n v="200"/>
    <n v="2064"/>
    <n v="200"/>
    <n v="720"/>
    <n v="4800"/>
    <n v="1816"/>
  </r>
  <r>
    <s v="TXN1075"/>
    <d v="2026-08-12T00:00:00"/>
    <x v="0"/>
    <s v="Accessories"/>
    <n v="1"/>
    <n v="1500"/>
    <n v="0"/>
    <n v="630"/>
    <n v="100"/>
    <n v="45"/>
    <n v="1500"/>
    <n v="725"/>
  </r>
  <r>
    <s v="TXN1076"/>
    <d v="2026-08-13T00:00:00"/>
    <x v="2"/>
    <s v="Apparel"/>
    <n v="2"/>
    <n v="8000"/>
    <n v="0"/>
    <n v="3440"/>
    <n v="0"/>
    <n v="160"/>
    <n v="8000"/>
    <n v="4400"/>
  </r>
  <r>
    <s v="TXN1077"/>
    <d v="2026-08-14T00:00:00"/>
    <x v="1"/>
    <s v="Sneakers"/>
    <n v="1"/>
    <n v="15000"/>
    <n v="1000"/>
    <n v="9150"/>
    <n v="200"/>
    <n v="2100"/>
    <n v="14000"/>
    <n v="2550"/>
  </r>
  <r>
    <s v="TXN1078"/>
    <d v="2026-08-15T00:00:00"/>
    <x v="0"/>
    <s v="Sneakers"/>
    <n v="2"/>
    <n v="30000"/>
    <n v="2000"/>
    <n v="17700"/>
    <n v="500"/>
    <n v="900"/>
    <n v="28000"/>
    <n v="8900"/>
  </r>
  <r>
    <s v="TXN1079"/>
    <d v="2026-08-16T00:00:00"/>
    <x v="0"/>
    <s v="Apparel"/>
    <n v="1"/>
    <n v="2500"/>
    <n v="0"/>
    <n v="1025"/>
    <n v="150"/>
    <n v="75"/>
    <n v="2500"/>
    <n v="1250"/>
  </r>
  <r>
    <s v="TXN1080"/>
    <d v="2026-08-17T00:00:00"/>
    <x v="2"/>
    <s v="Accessories"/>
    <n v="1"/>
    <n v="1500"/>
    <n v="0"/>
    <n v="615"/>
    <n v="0"/>
    <n v="30"/>
    <n v="1500"/>
    <n v="855"/>
  </r>
  <r>
    <s v="TXN1081"/>
    <d v="2026-08-18T00:00:00"/>
    <x v="1"/>
    <s v="Sneakers"/>
    <n v="1"/>
    <n v="18000"/>
    <n v="0"/>
    <n v="10440"/>
    <n v="200"/>
    <n v="2700"/>
    <n v="18000"/>
    <n v="4660"/>
  </r>
  <r>
    <s v="TXN1082"/>
    <d v="2026-08-19T00:00:00"/>
    <x v="0"/>
    <s v="Accessories"/>
    <n v="2"/>
    <n v="3000"/>
    <n v="0"/>
    <n v="1230"/>
    <n v="200"/>
    <n v="90"/>
    <n v="3000"/>
    <n v="1480"/>
  </r>
  <r>
    <s v="TXN1083"/>
    <d v="2026-08-20T00:00:00"/>
    <x v="1"/>
    <s v="Apparel"/>
    <n v="3"/>
    <n v="13500"/>
    <n v="500"/>
    <n v="5940"/>
    <n v="450"/>
    <n v="2025"/>
    <n v="13000"/>
    <n v="4585"/>
  </r>
  <r>
    <s v="TXN1084"/>
    <d v="2026-08-21T00:00:00"/>
    <x v="0"/>
    <s v="Sneakers"/>
    <n v="1"/>
    <n v="12000"/>
    <n v="500"/>
    <n v="7140"/>
    <n v="250"/>
    <n v="345"/>
    <n v="11500"/>
    <n v="3765"/>
  </r>
  <r>
    <s v="TXN1085"/>
    <d v="2026-08-22T00:00:00"/>
    <x v="2"/>
    <s v="Sneakers"/>
    <n v="1"/>
    <n v="22000"/>
    <n v="1000"/>
    <n v="13420"/>
    <n v="0"/>
    <n v="440"/>
    <n v="21000"/>
    <n v="7140"/>
  </r>
  <r>
    <s v="TXN1086"/>
    <d v="2026-08-23T00:00:00"/>
    <x v="1"/>
    <s v="Sneakers"/>
    <n v="1"/>
    <n v="22000"/>
    <n v="1500"/>
    <n v="12540"/>
    <n v="200"/>
    <n v="3075"/>
    <n v="20500"/>
    <n v="4685"/>
  </r>
  <r>
    <s v="TXN1087"/>
    <d v="2026-08-24T00:00:00"/>
    <x v="0"/>
    <s v="Apparel"/>
    <n v="2"/>
    <n v="7000"/>
    <n v="200"/>
    <n v="3080"/>
    <n v="300"/>
    <n v="204"/>
    <n v="6800"/>
    <n v="3216"/>
  </r>
  <r>
    <s v="TXN1088"/>
    <d v="2026-08-25T00:00:00"/>
    <x v="2"/>
    <s v="Apparel"/>
    <n v="1"/>
    <n v="3500"/>
    <n v="0"/>
    <n v="1505"/>
    <n v="0"/>
    <n v="70"/>
    <n v="3500"/>
    <n v="1925"/>
  </r>
  <r>
    <s v="TXN1089"/>
    <d v="2026-08-26T00:00:00"/>
    <x v="1"/>
    <s v="Accessories"/>
    <n v="4"/>
    <n v="4000"/>
    <n v="200"/>
    <n v="1640"/>
    <n v="400"/>
    <n v="600"/>
    <n v="3800"/>
    <n v="1160"/>
  </r>
  <r>
    <s v="TXN1090"/>
    <d v="2026-08-27T00:00:00"/>
    <x v="0"/>
    <s v="Sneakers"/>
    <n v="1"/>
    <n v="15000"/>
    <n v="1000"/>
    <n v="9300"/>
    <n v="250"/>
    <n v="420"/>
    <n v="14000"/>
    <n v="4030"/>
  </r>
  <r>
    <s v="TXN1091"/>
    <d v="2026-08-28T00:00:00"/>
    <x v="1"/>
    <s v="Sneakers"/>
    <n v="1"/>
    <n v="12000"/>
    <n v="0"/>
    <n v="7080"/>
    <n v="200"/>
    <n v="1800"/>
    <n v="12000"/>
    <n v="2920"/>
  </r>
  <r>
    <s v="TXN1092"/>
    <d v="2026-08-29T00:00:00"/>
    <x v="0"/>
    <s v="Accessories"/>
    <n v="1"/>
    <n v="1500"/>
    <n v="0"/>
    <n v="630"/>
    <n v="100"/>
    <n v="45"/>
    <n v="1500"/>
    <n v="725"/>
  </r>
  <r>
    <s v="TXN1093"/>
    <d v="2026-08-30T00:00:00"/>
    <x v="2"/>
    <s v="Sneakers"/>
    <n v="1"/>
    <n v="18000"/>
    <n v="0"/>
    <n v="10620"/>
    <n v="0"/>
    <n v="360"/>
    <n v="18000"/>
    <n v="7020"/>
  </r>
  <r>
    <s v="TXN1094"/>
    <d v="2026-08-31T00:00:00"/>
    <x v="0"/>
    <s v="Sneakers"/>
    <n v="1"/>
    <n v="8000"/>
    <n v="0"/>
    <n v="4880"/>
    <n v="250"/>
    <n v="240"/>
    <n v="8000"/>
    <n v="2630"/>
  </r>
  <r>
    <s v="TXN1095"/>
    <d v="2026-09-01T00:00:00"/>
    <x v="1"/>
    <s v="Apparel"/>
    <n v="1"/>
    <n v="4500"/>
    <n v="200"/>
    <n v="1938"/>
    <n v="150"/>
    <n v="645"/>
    <n v="4300"/>
    <n v="1567"/>
  </r>
  <r>
    <s v="TXN1096"/>
    <d v="2026-09-02T00:00:00"/>
    <x v="0"/>
    <s v="Apparel"/>
    <n v="2"/>
    <n v="9000"/>
    <n v="500"/>
    <n v="3960"/>
    <n v="300"/>
    <n v="255"/>
    <n v="8500"/>
    <n v="3985"/>
  </r>
  <r>
    <s v="TXN1097"/>
    <d v="2026-09-03T00:00:00"/>
    <x v="2"/>
    <s v="Accessories"/>
    <n v="2"/>
    <n v="5000"/>
    <n v="0"/>
    <n v="2050"/>
    <n v="0"/>
    <n v="100"/>
    <n v="5000"/>
    <n v="2850"/>
  </r>
  <r>
    <s v="TXN1098"/>
    <d v="2026-09-04T00:00:00"/>
    <x v="1"/>
    <s v="Sneakers"/>
    <n v="1"/>
    <n v="15000"/>
    <n v="1000"/>
    <n v="8700"/>
    <n v="200"/>
    <n v="2100"/>
    <n v="14000"/>
    <n v="3000"/>
  </r>
  <r>
    <s v="TXN1099"/>
    <d v="2026-09-05T00:00:00"/>
    <x v="0"/>
    <s v="Sneakers"/>
    <n v="1"/>
    <n v="22000"/>
    <n v="1500"/>
    <n v="13140"/>
    <n v="250"/>
    <n v="615"/>
    <n v="20500"/>
    <n v="64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661E5-08EB-454A-A4E7-25782F497F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2">
    <pivotField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_Revenue" fld="5" baseField="0" baseItem="0"/>
    <dataField name="Sum of Net_Sales" fld="10" baseField="0" baseItem="0"/>
    <dataField name="Sum of Contribution_Margi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B4BC62-CADE-4F95-980A-F30CBDB2161B}" name="Table2" displayName="Table2" ref="A1:L100" totalsRowShown="0" headerRowDxfId="11" dataDxfId="10">
  <autoFilter ref="A1:L100" xr:uid="{5BB4BC62-CADE-4F95-980A-F30CBDB2161B}"/>
  <tableColumns count="12">
    <tableColumn id="1" xr3:uid="{9C68BF24-CA3D-42D7-AF8D-618A4ED0AC69}" name="Transaction_ID" dataDxfId="9"/>
    <tableColumn id="2" xr3:uid="{2BD8CB1B-5D39-4E03-BD9B-AD81F843EAE8}" name="Date" dataDxfId="8"/>
    <tableColumn id="3" xr3:uid="{12700272-4456-4510-8006-AC0B3E2E084B}" name="Channel" dataDxfId="7"/>
    <tableColumn id="4" xr3:uid="{011B7D81-D998-4C80-8360-B6543552F5EF}" name="Category" dataDxfId="6"/>
    <tableColumn id="5" xr3:uid="{72F0B169-97B4-4ECF-A3DB-EECD0FB70986}" name="Units_Sold" dataDxfId="5"/>
    <tableColumn id="6" xr3:uid="{7F8F1E2A-960E-496D-8445-08767B73B1B7}" name="Gross_Revenue" dataDxfId="4"/>
    <tableColumn id="7" xr3:uid="{4538175B-0E7B-4684-B066-5054BB023A1E}" name="Discounts" dataDxfId="3"/>
    <tableColumn id="8" xr3:uid="{832E79A7-4ECE-4A36-97A3-9F9A2B08A8D8}" name="COGS" dataDxfId="2"/>
    <tableColumn id="9" xr3:uid="{9A321CD4-6270-43DE-8C05-0D5ED72777C8}" name="Shipping_Cost" dataDxfId="1"/>
    <tableColumn id="10" xr3:uid="{3B76120F-5AFB-46D7-B10A-1F22603FA6F2}" name="Gateway_Commission" dataDxfId="0"/>
    <tableColumn id="11" xr3:uid="{BF4AB6DA-A6B7-4B75-BEB1-894481A41336}" name="Net_Sales">
      <calculatedColumnFormula>F2-G2</calculatedColumnFormula>
    </tableColumn>
    <tableColumn id="12" xr3:uid="{5C1BE3DF-E37C-434B-BBBF-1D8325B88303}" name="Contribution_Margin">
      <calculatedColumnFormula>K2-H2-I2-J2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8E47-642C-4FC5-BB0E-879C3D149538}">
  <dimension ref="A3:D7"/>
  <sheetViews>
    <sheetView workbookViewId="0">
      <selection activeCell="D7" sqref="D7"/>
    </sheetView>
  </sheetViews>
  <sheetFormatPr defaultRowHeight="15" x14ac:dyDescent="0.25"/>
  <cols>
    <col min="1" max="1" width="13.42578125" bestFit="1" customWidth="1"/>
    <col min="2" max="2" width="22.28515625" bestFit="1" customWidth="1"/>
    <col min="3" max="3" width="16.85546875" bestFit="1" customWidth="1"/>
    <col min="4" max="4" width="26.7109375" bestFit="1" customWidth="1"/>
  </cols>
  <sheetData>
    <row r="3" spans="1:4" x14ac:dyDescent="0.25">
      <c r="A3" s="4" t="s">
        <v>22</v>
      </c>
      <c r="B3" t="s">
        <v>24</v>
      </c>
      <c r="C3" t="s">
        <v>25</v>
      </c>
      <c r="D3" t="s">
        <v>26</v>
      </c>
    </row>
    <row r="4" spans="1:4" x14ac:dyDescent="0.25">
      <c r="A4" s="1" t="s">
        <v>13</v>
      </c>
      <c r="B4">
        <v>406000</v>
      </c>
      <c r="C4">
        <v>391100</v>
      </c>
      <c r="D4">
        <v>98740</v>
      </c>
    </row>
    <row r="5" spans="1:4" x14ac:dyDescent="0.25">
      <c r="A5" s="1" t="s">
        <v>16</v>
      </c>
      <c r="B5">
        <v>240000</v>
      </c>
      <c r="C5">
        <v>234500</v>
      </c>
      <c r="D5">
        <v>97271</v>
      </c>
    </row>
    <row r="6" spans="1:4" x14ac:dyDescent="0.25">
      <c r="A6" s="1" t="s">
        <v>19</v>
      </c>
      <c r="B6">
        <v>420000</v>
      </c>
      <c r="C6">
        <v>397900</v>
      </c>
      <c r="D6">
        <v>141885</v>
      </c>
    </row>
    <row r="7" spans="1:4" x14ac:dyDescent="0.25">
      <c r="A7" s="1" t="s">
        <v>23</v>
      </c>
      <c r="B7">
        <v>1066000</v>
      </c>
      <c r="C7">
        <v>1023500</v>
      </c>
      <c r="D7">
        <v>337896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BC34-AB98-4FBA-8F59-D44681AA2C47}">
  <dimension ref="A1:L100"/>
  <sheetViews>
    <sheetView topLeftCell="A79" workbookViewId="0">
      <selection sqref="A1:L100"/>
    </sheetView>
  </sheetViews>
  <sheetFormatPr defaultRowHeight="15" x14ac:dyDescent="0.25"/>
  <cols>
    <col min="1" max="1" width="16.42578125" customWidth="1"/>
    <col min="2" max="2" width="10.5703125" customWidth="1"/>
    <col min="3" max="3" width="11.5703125" customWidth="1"/>
    <col min="4" max="4" width="11.42578125" customWidth="1"/>
    <col min="5" max="5" width="12.7109375" customWidth="1"/>
    <col min="6" max="6" width="17.28515625" customWidth="1"/>
    <col min="7" max="7" width="12.28515625" customWidth="1"/>
    <col min="9" max="9" width="16.140625" customWidth="1"/>
    <col min="10" max="10" width="23.140625" customWidth="1"/>
    <col min="11" max="11" width="12.140625" customWidth="1"/>
    <col min="12" max="12" width="21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20</v>
      </c>
      <c r="L1" t="s">
        <v>21</v>
      </c>
    </row>
    <row r="2" spans="1:12" x14ac:dyDescent="0.25">
      <c r="A2" s="2" t="s">
        <v>10</v>
      </c>
      <c r="B2" s="3">
        <v>46296</v>
      </c>
      <c r="C2" s="2" t="s">
        <v>19</v>
      </c>
      <c r="D2" s="2" t="s">
        <v>11</v>
      </c>
      <c r="E2" s="2">
        <v>1</v>
      </c>
      <c r="F2" s="2">
        <v>12000</v>
      </c>
      <c r="G2" s="2">
        <v>1000</v>
      </c>
      <c r="H2" s="2">
        <v>7000</v>
      </c>
      <c r="I2" s="2">
        <v>250</v>
      </c>
      <c r="J2" s="2">
        <v>360</v>
      </c>
      <c r="K2">
        <f t="shared" ref="K2:K33" si="0">F2-G2</f>
        <v>11000</v>
      </c>
      <c r="L2">
        <f t="shared" ref="L2:L33" si="1">K2-H2-I2-J2</f>
        <v>3390</v>
      </c>
    </row>
    <row r="3" spans="1:12" x14ac:dyDescent="0.25">
      <c r="A3" s="2" t="s">
        <v>12</v>
      </c>
      <c r="B3" s="3">
        <v>46296</v>
      </c>
      <c r="C3" s="2" t="s">
        <v>13</v>
      </c>
      <c r="D3" s="2" t="s">
        <v>14</v>
      </c>
      <c r="E3" s="2">
        <v>2</v>
      </c>
      <c r="F3" s="2">
        <v>4500</v>
      </c>
      <c r="G3" s="2">
        <v>200</v>
      </c>
      <c r="H3" s="2">
        <v>2200</v>
      </c>
      <c r="I3" s="2">
        <v>150</v>
      </c>
      <c r="J3" s="2">
        <v>675</v>
      </c>
      <c r="K3">
        <f t="shared" si="0"/>
        <v>4300</v>
      </c>
      <c r="L3">
        <f t="shared" si="1"/>
        <v>1275</v>
      </c>
    </row>
    <row r="4" spans="1:12" x14ac:dyDescent="0.25">
      <c r="A4" s="2" t="s">
        <v>15</v>
      </c>
      <c r="B4" s="3">
        <v>46297</v>
      </c>
      <c r="C4" s="2" t="s">
        <v>16</v>
      </c>
      <c r="D4" s="2" t="s">
        <v>17</v>
      </c>
      <c r="E4" s="2">
        <v>1</v>
      </c>
      <c r="F4" s="2">
        <v>2500</v>
      </c>
      <c r="G4" s="2">
        <v>0</v>
      </c>
      <c r="H4" s="2">
        <v>1000</v>
      </c>
      <c r="I4" s="2">
        <v>0</v>
      </c>
      <c r="J4" s="2">
        <v>50</v>
      </c>
      <c r="K4">
        <f t="shared" si="0"/>
        <v>2500</v>
      </c>
      <c r="L4">
        <f t="shared" si="1"/>
        <v>1450</v>
      </c>
    </row>
    <row r="5" spans="1:12" x14ac:dyDescent="0.25">
      <c r="A5" s="2" t="s">
        <v>18</v>
      </c>
      <c r="B5" s="3">
        <v>46297</v>
      </c>
      <c r="C5" s="2" t="s">
        <v>19</v>
      </c>
      <c r="D5" s="2" t="s">
        <v>11</v>
      </c>
      <c r="E5" s="2">
        <v>1</v>
      </c>
      <c r="F5" s="2">
        <v>15000</v>
      </c>
      <c r="G5" s="2">
        <v>1500</v>
      </c>
      <c r="H5" s="2">
        <v>9000</v>
      </c>
      <c r="I5" s="2">
        <v>250</v>
      </c>
      <c r="J5" s="2">
        <v>450</v>
      </c>
      <c r="K5">
        <f t="shared" si="0"/>
        <v>13500</v>
      </c>
      <c r="L5">
        <f t="shared" si="1"/>
        <v>3800</v>
      </c>
    </row>
    <row r="6" spans="1:12" x14ac:dyDescent="0.25">
      <c r="A6" s="2" t="s">
        <v>33</v>
      </c>
      <c r="B6" s="3">
        <v>46174</v>
      </c>
      <c r="C6" s="2" t="s">
        <v>19</v>
      </c>
      <c r="D6" s="2" t="s">
        <v>17</v>
      </c>
      <c r="E6" s="2">
        <v>1</v>
      </c>
      <c r="F6" s="2">
        <v>1500</v>
      </c>
      <c r="G6" s="2">
        <v>0</v>
      </c>
      <c r="H6" s="2">
        <v>620</v>
      </c>
      <c r="I6" s="2">
        <v>100</v>
      </c>
      <c r="J6" s="2">
        <v>45</v>
      </c>
      <c r="K6">
        <f t="shared" si="0"/>
        <v>1500</v>
      </c>
      <c r="L6">
        <f t="shared" si="1"/>
        <v>735</v>
      </c>
    </row>
    <row r="7" spans="1:12" x14ac:dyDescent="0.25">
      <c r="A7" s="2" t="s">
        <v>34</v>
      </c>
      <c r="B7" s="3">
        <v>46174</v>
      </c>
      <c r="C7" s="2" t="s">
        <v>16</v>
      </c>
      <c r="D7" s="2" t="s">
        <v>11</v>
      </c>
      <c r="E7" s="2">
        <v>1</v>
      </c>
      <c r="F7" s="2">
        <v>18000</v>
      </c>
      <c r="G7" s="2">
        <v>0</v>
      </c>
      <c r="H7" s="2">
        <v>9945</v>
      </c>
      <c r="I7" s="2">
        <v>0</v>
      </c>
      <c r="J7" s="2">
        <v>360</v>
      </c>
      <c r="K7">
        <f t="shared" si="0"/>
        <v>18000</v>
      </c>
      <c r="L7">
        <f t="shared" si="1"/>
        <v>7695</v>
      </c>
    </row>
    <row r="8" spans="1:12" x14ac:dyDescent="0.25">
      <c r="A8" s="2" t="s">
        <v>35</v>
      </c>
      <c r="B8" s="3">
        <v>46175</v>
      </c>
      <c r="C8" s="2" t="s">
        <v>13</v>
      </c>
      <c r="D8" s="2" t="s">
        <v>11</v>
      </c>
      <c r="E8" s="2">
        <v>2</v>
      </c>
      <c r="F8" s="2">
        <v>24000</v>
      </c>
      <c r="G8" s="2">
        <v>0</v>
      </c>
      <c r="H8" s="2">
        <v>13860</v>
      </c>
      <c r="I8" s="2">
        <v>400</v>
      </c>
      <c r="J8" s="2">
        <v>3600</v>
      </c>
      <c r="K8">
        <f t="shared" si="0"/>
        <v>24000</v>
      </c>
      <c r="L8">
        <f t="shared" si="1"/>
        <v>6140</v>
      </c>
    </row>
    <row r="9" spans="1:12" x14ac:dyDescent="0.25">
      <c r="A9" s="2" t="s">
        <v>36</v>
      </c>
      <c r="B9" s="3">
        <v>46176</v>
      </c>
      <c r="C9" s="2" t="s">
        <v>13</v>
      </c>
      <c r="D9" s="2" t="s">
        <v>11</v>
      </c>
      <c r="E9" s="2">
        <v>1</v>
      </c>
      <c r="F9" s="2">
        <v>15000</v>
      </c>
      <c r="G9" s="2">
        <v>0</v>
      </c>
      <c r="H9" s="2">
        <v>8584</v>
      </c>
      <c r="I9" s="2">
        <v>200</v>
      </c>
      <c r="J9" s="2">
        <v>2250</v>
      </c>
      <c r="K9">
        <f t="shared" si="0"/>
        <v>15000</v>
      </c>
      <c r="L9">
        <f t="shared" si="1"/>
        <v>3966</v>
      </c>
    </row>
    <row r="10" spans="1:12" x14ac:dyDescent="0.25">
      <c r="A10" s="2" t="s">
        <v>37</v>
      </c>
      <c r="B10" s="3">
        <v>46177</v>
      </c>
      <c r="C10" s="2" t="s">
        <v>19</v>
      </c>
      <c r="D10" s="2" t="s">
        <v>17</v>
      </c>
      <c r="E10" s="2">
        <v>1</v>
      </c>
      <c r="F10" s="2">
        <v>1000</v>
      </c>
      <c r="G10" s="2">
        <v>0</v>
      </c>
      <c r="H10" s="2">
        <v>423</v>
      </c>
      <c r="I10" s="2">
        <v>100</v>
      </c>
      <c r="J10" s="2">
        <v>30</v>
      </c>
      <c r="K10">
        <f t="shared" si="0"/>
        <v>1000</v>
      </c>
      <c r="L10">
        <f t="shared" si="1"/>
        <v>447</v>
      </c>
    </row>
    <row r="11" spans="1:12" x14ac:dyDescent="0.25">
      <c r="A11" s="2" t="s">
        <v>38</v>
      </c>
      <c r="B11" s="3">
        <v>46178</v>
      </c>
      <c r="C11" s="2" t="s">
        <v>19</v>
      </c>
      <c r="D11" s="2" t="s">
        <v>11</v>
      </c>
      <c r="E11" s="2">
        <v>1</v>
      </c>
      <c r="F11" s="2">
        <v>8000</v>
      </c>
      <c r="G11" s="2">
        <v>500</v>
      </c>
      <c r="H11" s="2">
        <v>4941</v>
      </c>
      <c r="I11" s="2">
        <v>250</v>
      </c>
      <c r="J11" s="2">
        <v>240</v>
      </c>
      <c r="K11">
        <f t="shared" si="0"/>
        <v>7500</v>
      </c>
      <c r="L11">
        <f t="shared" si="1"/>
        <v>2069</v>
      </c>
    </row>
    <row r="12" spans="1:12" x14ac:dyDescent="0.25">
      <c r="A12" s="2" t="s">
        <v>39</v>
      </c>
      <c r="B12" s="3">
        <v>46179</v>
      </c>
      <c r="C12" s="2" t="s">
        <v>19</v>
      </c>
      <c r="D12" s="2" t="s">
        <v>14</v>
      </c>
      <c r="E12" s="2">
        <v>1</v>
      </c>
      <c r="F12" s="2">
        <v>3500</v>
      </c>
      <c r="G12" s="2">
        <v>0</v>
      </c>
      <c r="H12" s="2">
        <v>1712</v>
      </c>
      <c r="I12" s="2">
        <v>150</v>
      </c>
      <c r="J12" s="2">
        <v>105</v>
      </c>
      <c r="K12">
        <f t="shared" si="0"/>
        <v>3500</v>
      </c>
      <c r="L12">
        <f t="shared" si="1"/>
        <v>1533</v>
      </c>
    </row>
    <row r="13" spans="1:12" x14ac:dyDescent="0.25">
      <c r="A13" s="2" t="s">
        <v>40</v>
      </c>
      <c r="B13" s="3">
        <v>46180</v>
      </c>
      <c r="C13" s="2" t="s">
        <v>16</v>
      </c>
      <c r="D13" s="2" t="s">
        <v>14</v>
      </c>
      <c r="E13" s="2">
        <v>1</v>
      </c>
      <c r="F13" s="2">
        <v>3500</v>
      </c>
      <c r="G13" s="2">
        <v>0</v>
      </c>
      <c r="H13" s="2">
        <v>1430</v>
      </c>
      <c r="I13" s="2">
        <v>0</v>
      </c>
      <c r="J13" s="2">
        <v>70</v>
      </c>
      <c r="K13">
        <f t="shared" si="0"/>
        <v>3500</v>
      </c>
      <c r="L13">
        <f t="shared" si="1"/>
        <v>2000</v>
      </c>
    </row>
    <row r="14" spans="1:12" x14ac:dyDescent="0.25">
      <c r="A14" s="2" t="s">
        <v>41</v>
      </c>
      <c r="B14" s="3">
        <v>46181</v>
      </c>
      <c r="C14" s="2" t="s">
        <v>13</v>
      </c>
      <c r="D14" s="2" t="s">
        <v>11</v>
      </c>
      <c r="E14" s="2">
        <v>1</v>
      </c>
      <c r="F14" s="2">
        <v>22000</v>
      </c>
      <c r="G14" s="2">
        <v>0</v>
      </c>
      <c r="H14" s="2">
        <v>13028</v>
      </c>
      <c r="I14" s="2">
        <v>200</v>
      </c>
      <c r="J14" s="2">
        <v>3300</v>
      </c>
      <c r="K14">
        <f t="shared" si="0"/>
        <v>22000</v>
      </c>
      <c r="L14">
        <f t="shared" si="1"/>
        <v>5472</v>
      </c>
    </row>
    <row r="15" spans="1:12" x14ac:dyDescent="0.25">
      <c r="A15" s="2" t="s">
        <v>42</v>
      </c>
      <c r="B15" s="3">
        <v>46182</v>
      </c>
      <c r="C15" s="2" t="s">
        <v>13</v>
      </c>
      <c r="D15" s="2" t="s">
        <v>14</v>
      </c>
      <c r="E15" s="2">
        <v>3</v>
      </c>
      <c r="F15" s="2">
        <v>13500</v>
      </c>
      <c r="G15" s="2">
        <v>200</v>
      </c>
      <c r="H15" s="2">
        <v>5440</v>
      </c>
      <c r="I15" s="2">
        <v>450</v>
      </c>
      <c r="J15" s="2">
        <v>2025</v>
      </c>
      <c r="K15">
        <f t="shared" si="0"/>
        <v>13300</v>
      </c>
      <c r="L15">
        <f t="shared" si="1"/>
        <v>5385</v>
      </c>
    </row>
    <row r="16" spans="1:12" x14ac:dyDescent="0.25">
      <c r="A16" s="2" t="s">
        <v>43</v>
      </c>
      <c r="B16" s="3">
        <v>46183</v>
      </c>
      <c r="C16" s="2" t="s">
        <v>19</v>
      </c>
      <c r="D16" s="2" t="s">
        <v>11</v>
      </c>
      <c r="E16" s="2">
        <v>1</v>
      </c>
      <c r="F16" s="2">
        <v>12000</v>
      </c>
      <c r="G16" s="2">
        <v>1000</v>
      </c>
      <c r="H16" s="2">
        <v>6800</v>
      </c>
      <c r="I16" s="2">
        <v>250</v>
      </c>
      <c r="J16" s="2">
        <v>360</v>
      </c>
      <c r="K16">
        <f t="shared" si="0"/>
        <v>11000</v>
      </c>
      <c r="L16">
        <f t="shared" si="1"/>
        <v>3590</v>
      </c>
    </row>
    <row r="17" spans="1:12" x14ac:dyDescent="0.25">
      <c r="A17" s="2" t="s">
        <v>44</v>
      </c>
      <c r="B17" s="3">
        <v>46184</v>
      </c>
      <c r="C17" s="2" t="s">
        <v>16</v>
      </c>
      <c r="D17" s="2" t="s">
        <v>17</v>
      </c>
      <c r="E17" s="2">
        <v>2</v>
      </c>
      <c r="F17" s="2">
        <v>5000</v>
      </c>
      <c r="G17" s="2">
        <v>0</v>
      </c>
      <c r="H17" s="2">
        <v>2100</v>
      </c>
      <c r="I17" s="2">
        <v>0</v>
      </c>
      <c r="J17" s="2">
        <v>100</v>
      </c>
      <c r="K17">
        <f t="shared" si="0"/>
        <v>5000</v>
      </c>
      <c r="L17">
        <f t="shared" si="1"/>
        <v>2800</v>
      </c>
    </row>
    <row r="18" spans="1:12" x14ac:dyDescent="0.25">
      <c r="A18" s="2" t="s">
        <v>45</v>
      </c>
      <c r="B18" s="3">
        <v>46185</v>
      </c>
      <c r="C18" s="2" t="s">
        <v>13</v>
      </c>
      <c r="D18" s="2" t="s">
        <v>11</v>
      </c>
      <c r="E18" s="2">
        <v>1</v>
      </c>
      <c r="F18" s="2">
        <v>18000</v>
      </c>
      <c r="G18" s="2">
        <v>1500</v>
      </c>
      <c r="H18" s="2">
        <v>10200</v>
      </c>
      <c r="I18" s="2">
        <v>200</v>
      </c>
      <c r="J18" s="2">
        <v>2700</v>
      </c>
      <c r="K18">
        <f t="shared" si="0"/>
        <v>16500</v>
      </c>
      <c r="L18">
        <f t="shared" si="1"/>
        <v>3400</v>
      </c>
    </row>
    <row r="19" spans="1:12" x14ac:dyDescent="0.25">
      <c r="A19" s="2" t="s">
        <v>46</v>
      </c>
      <c r="B19" s="3">
        <v>46187</v>
      </c>
      <c r="C19" s="2" t="s">
        <v>19</v>
      </c>
      <c r="D19" s="2" t="s">
        <v>14</v>
      </c>
      <c r="E19" s="2">
        <v>2</v>
      </c>
      <c r="F19" s="2">
        <v>7000</v>
      </c>
      <c r="G19" s="2">
        <v>500</v>
      </c>
      <c r="H19" s="2">
        <v>3100</v>
      </c>
      <c r="I19" s="2">
        <v>300</v>
      </c>
      <c r="J19" s="2">
        <v>210</v>
      </c>
      <c r="K19">
        <f t="shared" si="0"/>
        <v>6500</v>
      </c>
      <c r="L19">
        <f t="shared" si="1"/>
        <v>2890</v>
      </c>
    </row>
    <row r="20" spans="1:12" x14ac:dyDescent="0.25">
      <c r="A20" s="2" t="s">
        <v>47</v>
      </c>
      <c r="B20" s="3">
        <v>46188</v>
      </c>
      <c r="C20" s="2" t="s">
        <v>19</v>
      </c>
      <c r="D20" s="2" t="s">
        <v>11</v>
      </c>
      <c r="E20" s="2">
        <v>1</v>
      </c>
      <c r="F20" s="2">
        <v>15000</v>
      </c>
      <c r="G20" s="2">
        <v>0</v>
      </c>
      <c r="H20" s="2">
        <v>8400</v>
      </c>
      <c r="I20" s="2">
        <v>250</v>
      </c>
      <c r="J20" s="2">
        <v>450</v>
      </c>
      <c r="K20">
        <f t="shared" si="0"/>
        <v>15000</v>
      </c>
      <c r="L20">
        <f t="shared" si="1"/>
        <v>5900</v>
      </c>
    </row>
    <row r="21" spans="1:12" x14ac:dyDescent="0.25">
      <c r="A21" s="2" t="s">
        <v>48</v>
      </c>
      <c r="B21" s="3">
        <v>46190</v>
      </c>
      <c r="C21" s="2" t="s">
        <v>16</v>
      </c>
      <c r="D21" s="2" t="s">
        <v>11</v>
      </c>
      <c r="E21" s="2">
        <v>1</v>
      </c>
      <c r="F21" s="2">
        <v>22000</v>
      </c>
      <c r="G21" s="2">
        <v>1000</v>
      </c>
      <c r="H21" s="2">
        <v>12500</v>
      </c>
      <c r="I21" s="2">
        <v>0</v>
      </c>
      <c r="J21" s="2">
        <v>440</v>
      </c>
      <c r="K21">
        <f t="shared" si="0"/>
        <v>21000</v>
      </c>
      <c r="L21">
        <f t="shared" si="1"/>
        <v>8060</v>
      </c>
    </row>
    <row r="22" spans="1:12" x14ac:dyDescent="0.25">
      <c r="A22" s="2" t="s">
        <v>49</v>
      </c>
      <c r="B22" s="3">
        <v>46191</v>
      </c>
      <c r="C22" s="2" t="s">
        <v>13</v>
      </c>
      <c r="D22" s="2" t="s">
        <v>17</v>
      </c>
      <c r="E22" s="2">
        <v>4</v>
      </c>
      <c r="F22" s="2">
        <v>4000</v>
      </c>
      <c r="G22" s="2">
        <v>200</v>
      </c>
      <c r="H22" s="2">
        <v>1600</v>
      </c>
      <c r="I22" s="2">
        <v>400</v>
      </c>
      <c r="J22" s="2">
        <v>600</v>
      </c>
      <c r="K22">
        <f t="shared" si="0"/>
        <v>3800</v>
      </c>
      <c r="L22">
        <f t="shared" si="1"/>
        <v>1200</v>
      </c>
    </row>
    <row r="23" spans="1:12" x14ac:dyDescent="0.25">
      <c r="A23" s="2" t="s">
        <v>50</v>
      </c>
      <c r="B23" s="3">
        <v>46193</v>
      </c>
      <c r="C23" s="2" t="s">
        <v>19</v>
      </c>
      <c r="D23" s="2" t="s">
        <v>11</v>
      </c>
      <c r="E23" s="2">
        <v>2</v>
      </c>
      <c r="F23" s="2">
        <v>30000</v>
      </c>
      <c r="G23" s="2">
        <v>2000</v>
      </c>
      <c r="H23" s="2">
        <v>17000</v>
      </c>
      <c r="I23" s="2">
        <v>500</v>
      </c>
      <c r="J23" s="2">
        <v>900</v>
      </c>
      <c r="K23">
        <f t="shared" si="0"/>
        <v>28000</v>
      </c>
      <c r="L23">
        <f t="shared" si="1"/>
        <v>9600</v>
      </c>
    </row>
    <row r="24" spans="1:12" x14ac:dyDescent="0.25">
      <c r="A24" s="2" t="s">
        <v>51</v>
      </c>
      <c r="B24" s="3">
        <v>46195</v>
      </c>
      <c r="C24" s="2" t="s">
        <v>13</v>
      </c>
      <c r="D24" s="2" t="s">
        <v>14</v>
      </c>
      <c r="E24" s="2">
        <v>1</v>
      </c>
      <c r="F24" s="2">
        <v>4500</v>
      </c>
      <c r="G24" s="2">
        <v>0</v>
      </c>
      <c r="H24" s="2">
        <v>2000</v>
      </c>
      <c r="I24" s="2">
        <v>150</v>
      </c>
      <c r="J24" s="2">
        <v>675</v>
      </c>
      <c r="K24">
        <f t="shared" si="0"/>
        <v>4500</v>
      </c>
      <c r="L24">
        <f t="shared" si="1"/>
        <v>1675</v>
      </c>
    </row>
    <row r="25" spans="1:12" x14ac:dyDescent="0.25">
      <c r="A25" s="2" t="s">
        <v>52</v>
      </c>
      <c r="B25" s="3">
        <v>46198</v>
      </c>
      <c r="C25" s="2" t="s">
        <v>16</v>
      </c>
      <c r="D25" s="2" t="s">
        <v>14</v>
      </c>
      <c r="E25" s="2">
        <v>2</v>
      </c>
      <c r="F25" s="2">
        <v>9000</v>
      </c>
      <c r="G25" s="2">
        <v>500</v>
      </c>
      <c r="H25" s="2">
        <v>4100</v>
      </c>
      <c r="I25" s="2">
        <v>0</v>
      </c>
      <c r="J25" s="2">
        <v>180</v>
      </c>
      <c r="K25">
        <f t="shared" si="0"/>
        <v>8500</v>
      </c>
      <c r="L25">
        <f t="shared" si="1"/>
        <v>4220</v>
      </c>
    </row>
    <row r="26" spans="1:12" x14ac:dyDescent="0.25">
      <c r="A26" s="2" t="s">
        <v>53</v>
      </c>
      <c r="B26" s="3">
        <v>46201</v>
      </c>
      <c r="C26" s="2" t="s">
        <v>19</v>
      </c>
      <c r="D26" s="2" t="s">
        <v>11</v>
      </c>
      <c r="E26" s="2">
        <v>1</v>
      </c>
      <c r="F26" s="2">
        <v>12000</v>
      </c>
      <c r="G26" s="2">
        <v>500</v>
      </c>
      <c r="H26" s="2">
        <v>6700</v>
      </c>
      <c r="I26" s="2">
        <v>250</v>
      </c>
      <c r="J26" s="2">
        <v>360</v>
      </c>
      <c r="K26">
        <f t="shared" si="0"/>
        <v>11500</v>
      </c>
      <c r="L26">
        <f t="shared" si="1"/>
        <v>4190</v>
      </c>
    </row>
    <row r="27" spans="1:12" x14ac:dyDescent="0.25">
      <c r="A27" s="2" t="s">
        <v>54</v>
      </c>
      <c r="B27" s="3">
        <v>46202</v>
      </c>
      <c r="C27" s="2" t="s">
        <v>19</v>
      </c>
      <c r="D27" s="2" t="s">
        <v>14</v>
      </c>
      <c r="E27" s="2">
        <v>1</v>
      </c>
      <c r="F27" s="2">
        <v>2500</v>
      </c>
      <c r="G27" s="2">
        <v>0</v>
      </c>
      <c r="H27" s="2">
        <v>1009</v>
      </c>
      <c r="I27" s="2">
        <v>150</v>
      </c>
      <c r="J27" s="2">
        <v>75</v>
      </c>
      <c r="K27">
        <f t="shared" si="0"/>
        <v>2500</v>
      </c>
      <c r="L27">
        <f t="shared" si="1"/>
        <v>1266</v>
      </c>
    </row>
    <row r="28" spans="1:12" x14ac:dyDescent="0.25">
      <c r="A28" s="2" t="s">
        <v>55</v>
      </c>
      <c r="B28" s="3">
        <v>46203</v>
      </c>
      <c r="C28" s="2" t="s">
        <v>16</v>
      </c>
      <c r="D28" s="2" t="s">
        <v>11</v>
      </c>
      <c r="E28" s="2">
        <v>1</v>
      </c>
      <c r="F28" s="2">
        <v>12000</v>
      </c>
      <c r="G28" s="2">
        <v>0</v>
      </c>
      <c r="H28" s="2">
        <v>7674</v>
      </c>
      <c r="I28" s="2">
        <v>0</v>
      </c>
      <c r="J28" s="2">
        <v>240</v>
      </c>
      <c r="K28">
        <f t="shared" si="0"/>
        <v>12000</v>
      </c>
      <c r="L28">
        <f t="shared" si="1"/>
        <v>4086</v>
      </c>
    </row>
    <row r="29" spans="1:12" x14ac:dyDescent="0.25">
      <c r="A29" s="2" t="s">
        <v>56</v>
      </c>
      <c r="B29" s="3">
        <v>46204</v>
      </c>
      <c r="C29" s="2" t="s">
        <v>13</v>
      </c>
      <c r="D29" s="2" t="s">
        <v>11</v>
      </c>
      <c r="E29" s="2">
        <v>1</v>
      </c>
      <c r="F29" s="2">
        <v>15000</v>
      </c>
      <c r="G29" s="2">
        <v>500</v>
      </c>
      <c r="H29" s="2">
        <v>9450</v>
      </c>
      <c r="I29" s="2">
        <v>200</v>
      </c>
      <c r="J29" s="2">
        <v>2175</v>
      </c>
      <c r="K29">
        <f t="shared" si="0"/>
        <v>14500</v>
      </c>
      <c r="L29">
        <f t="shared" si="1"/>
        <v>2675</v>
      </c>
    </row>
    <row r="30" spans="1:12" x14ac:dyDescent="0.25">
      <c r="A30" s="2" t="s">
        <v>57</v>
      </c>
      <c r="B30" s="3">
        <v>46205</v>
      </c>
      <c r="C30" s="2" t="s">
        <v>19</v>
      </c>
      <c r="D30" s="2" t="s">
        <v>17</v>
      </c>
      <c r="E30" s="2">
        <v>2</v>
      </c>
      <c r="F30" s="2">
        <v>3000</v>
      </c>
      <c r="G30" s="2">
        <v>0</v>
      </c>
      <c r="H30" s="2">
        <v>1293</v>
      </c>
      <c r="I30" s="2">
        <v>200</v>
      </c>
      <c r="J30" s="2">
        <v>90</v>
      </c>
      <c r="K30">
        <f t="shared" si="0"/>
        <v>3000</v>
      </c>
      <c r="L30">
        <f t="shared" si="1"/>
        <v>1417</v>
      </c>
    </row>
    <row r="31" spans="1:12" x14ac:dyDescent="0.25">
      <c r="A31" s="2" t="s">
        <v>58</v>
      </c>
      <c r="B31" s="3">
        <v>46206</v>
      </c>
      <c r="C31" s="2" t="s">
        <v>13</v>
      </c>
      <c r="D31" s="2" t="s">
        <v>14</v>
      </c>
      <c r="E31" s="2">
        <v>2</v>
      </c>
      <c r="F31" s="2">
        <v>7000</v>
      </c>
      <c r="G31" s="2">
        <v>200</v>
      </c>
      <c r="H31" s="2">
        <v>2877</v>
      </c>
      <c r="I31" s="2">
        <v>300</v>
      </c>
      <c r="J31" s="2">
        <v>1020</v>
      </c>
      <c r="K31">
        <f t="shared" si="0"/>
        <v>6800</v>
      </c>
      <c r="L31">
        <f t="shared" si="1"/>
        <v>2603</v>
      </c>
    </row>
    <row r="32" spans="1:12" x14ac:dyDescent="0.25">
      <c r="A32" s="2" t="s">
        <v>59</v>
      </c>
      <c r="B32" s="3">
        <v>46207</v>
      </c>
      <c r="C32" s="2" t="s">
        <v>19</v>
      </c>
      <c r="D32" s="2" t="s">
        <v>11</v>
      </c>
      <c r="E32" s="2">
        <v>1</v>
      </c>
      <c r="F32" s="2">
        <v>15000</v>
      </c>
      <c r="G32" s="2">
        <v>1000</v>
      </c>
      <c r="H32" s="2">
        <v>8850</v>
      </c>
      <c r="I32" s="2">
        <v>250</v>
      </c>
      <c r="J32" s="2">
        <v>420</v>
      </c>
      <c r="K32">
        <f t="shared" si="0"/>
        <v>14000</v>
      </c>
      <c r="L32">
        <f t="shared" si="1"/>
        <v>4480</v>
      </c>
    </row>
    <row r="33" spans="1:12" x14ac:dyDescent="0.25">
      <c r="A33" s="2" t="s">
        <v>60</v>
      </c>
      <c r="B33" s="3">
        <v>46208</v>
      </c>
      <c r="C33" s="2" t="s">
        <v>16</v>
      </c>
      <c r="D33" s="2" t="s">
        <v>14</v>
      </c>
      <c r="E33" s="2">
        <v>1</v>
      </c>
      <c r="F33" s="2">
        <v>3500</v>
      </c>
      <c r="G33" s="2">
        <v>0</v>
      </c>
      <c r="H33" s="2">
        <v>1578</v>
      </c>
      <c r="I33" s="2">
        <v>0</v>
      </c>
      <c r="J33" s="2">
        <v>70</v>
      </c>
      <c r="K33">
        <f t="shared" si="0"/>
        <v>3500</v>
      </c>
      <c r="L33">
        <f t="shared" si="1"/>
        <v>1852</v>
      </c>
    </row>
    <row r="34" spans="1:12" x14ac:dyDescent="0.25">
      <c r="A34" s="2" t="s">
        <v>61</v>
      </c>
      <c r="B34" s="3">
        <v>46209</v>
      </c>
      <c r="C34" s="2" t="s">
        <v>13</v>
      </c>
      <c r="D34" s="2" t="s">
        <v>11</v>
      </c>
      <c r="E34" s="2">
        <v>1</v>
      </c>
      <c r="F34" s="2">
        <v>18000</v>
      </c>
      <c r="G34" s="2">
        <v>0</v>
      </c>
      <c r="H34" s="2">
        <v>10584</v>
      </c>
      <c r="I34" s="2">
        <v>200</v>
      </c>
      <c r="J34" s="2">
        <v>2700</v>
      </c>
      <c r="K34">
        <f t="shared" ref="K34:K51" si="2">F34-G34</f>
        <v>18000</v>
      </c>
      <c r="L34">
        <f t="shared" ref="L34:L65" si="3">K34-H34-I34-J34</f>
        <v>4516</v>
      </c>
    </row>
    <row r="35" spans="1:12" x14ac:dyDescent="0.25">
      <c r="A35" s="2" t="s">
        <v>62</v>
      </c>
      <c r="B35" s="3">
        <v>46210</v>
      </c>
      <c r="C35" s="2" t="s">
        <v>19</v>
      </c>
      <c r="D35" s="2" t="s">
        <v>14</v>
      </c>
      <c r="E35" s="2">
        <v>3</v>
      </c>
      <c r="F35" s="2">
        <v>10500</v>
      </c>
      <c r="G35" s="2">
        <v>500</v>
      </c>
      <c r="H35" s="2">
        <v>4435</v>
      </c>
      <c r="I35" s="2">
        <v>450</v>
      </c>
      <c r="J35" s="2">
        <v>300</v>
      </c>
      <c r="K35">
        <f t="shared" si="2"/>
        <v>10000</v>
      </c>
      <c r="L35">
        <f t="shared" si="3"/>
        <v>4815</v>
      </c>
    </row>
    <row r="36" spans="1:12" x14ac:dyDescent="0.25">
      <c r="A36" s="2" t="s">
        <v>63</v>
      </c>
      <c r="B36" s="3">
        <v>46211</v>
      </c>
      <c r="C36" s="2" t="s">
        <v>19</v>
      </c>
      <c r="D36" s="2" t="s">
        <v>11</v>
      </c>
      <c r="E36" s="2">
        <v>1</v>
      </c>
      <c r="F36" s="2">
        <v>22000</v>
      </c>
      <c r="G36" s="2">
        <v>1500</v>
      </c>
      <c r="H36" s="2">
        <v>13365</v>
      </c>
      <c r="I36" s="2">
        <v>250</v>
      </c>
      <c r="J36" s="2">
        <v>615</v>
      </c>
      <c r="K36">
        <f t="shared" si="2"/>
        <v>20500</v>
      </c>
      <c r="L36">
        <f t="shared" si="3"/>
        <v>6270</v>
      </c>
    </row>
    <row r="37" spans="1:12" x14ac:dyDescent="0.25">
      <c r="A37" s="2" t="s">
        <v>64</v>
      </c>
      <c r="B37" s="3">
        <v>46212</v>
      </c>
      <c r="C37" s="2" t="s">
        <v>16</v>
      </c>
      <c r="D37" s="2" t="s">
        <v>17</v>
      </c>
      <c r="E37" s="2">
        <v>1</v>
      </c>
      <c r="F37" s="2">
        <v>1500</v>
      </c>
      <c r="G37" s="2">
        <v>0</v>
      </c>
      <c r="H37" s="2">
        <v>652</v>
      </c>
      <c r="I37" s="2">
        <v>0</v>
      </c>
      <c r="J37" s="2">
        <v>30</v>
      </c>
      <c r="K37">
        <f t="shared" si="2"/>
        <v>1500</v>
      </c>
      <c r="L37">
        <f t="shared" si="3"/>
        <v>818</v>
      </c>
    </row>
    <row r="38" spans="1:12" x14ac:dyDescent="0.25">
      <c r="A38" s="2" t="s">
        <v>65</v>
      </c>
      <c r="B38" s="3">
        <v>46213</v>
      </c>
      <c r="C38" s="2" t="s">
        <v>13</v>
      </c>
      <c r="D38" s="2" t="s">
        <v>17</v>
      </c>
      <c r="E38" s="2">
        <v>1</v>
      </c>
      <c r="F38" s="2">
        <v>1000</v>
      </c>
      <c r="G38" s="2">
        <v>0</v>
      </c>
      <c r="H38" s="2">
        <v>368</v>
      </c>
      <c r="I38" s="2">
        <v>100</v>
      </c>
      <c r="J38" s="2">
        <v>150</v>
      </c>
      <c r="K38">
        <f t="shared" si="2"/>
        <v>1000</v>
      </c>
      <c r="L38">
        <f t="shared" si="3"/>
        <v>382</v>
      </c>
    </row>
    <row r="39" spans="1:12" x14ac:dyDescent="0.25">
      <c r="A39" s="2" t="s">
        <v>66</v>
      </c>
      <c r="B39" s="3">
        <v>46214</v>
      </c>
      <c r="C39" s="2" t="s">
        <v>19</v>
      </c>
      <c r="D39" s="2" t="s">
        <v>11</v>
      </c>
      <c r="E39" s="2">
        <v>2</v>
      </c>
      <c r="F39" s="2">
        <v>24000</v>
      </c>
      <c r="G39" s="2">
        <v>2000</v>
      </c>
      <c r="H39" s="2">
        <v>14880</v>
      </c>
      <c r="I39" s="2">
        <v>500</v>
      </c>
      <c r="J39" s="2">
        <v>660</v>
      </c>
      <c r="K39">
        <f t="shared" si="2"/>
        <v>22000</v>
      </c>
      <c r="L39">
        <f t="shared" si="3"/>
        <v>5960</v>
      </c>
    </row>
    <row r="40" spans="1:12" x14ac:dyDescent="0.25">
      <c r="A40" s="2" t="s">
        <v>67</v>
      </c>
      <c r="B40" s="3">
        <v>46215</v>
      </c>
      <c r="C40" s="2" t="s">
        <v>13</v>
      </c>
      <c r="D40" s="2" t="s">
        <v>14</v>
      </c>
      <c r="E40" s="2">
        <v>1</v>
      </c>
      <c r="F40" s="2">
        <v>4500</v>
      </c>
      <c r="G40" s="2">
        <v>0</v>
      </c>
      <c r="H40" s="2">
        <v>2110</v>
      </c>
      <c r="I40" s="2">
        <v>150</v>
      </c>
      <c r="J40" s="2">
        <v>675</v>
      </c>
      <c r="K40">
        <f t="shared" si="2"/>
        <v>4500</v>
      </c>
      <c r="L40">
        <f t="shared" si="3"/>
        <v>1565</v>
      </c>
    </row>
    <row r="41" spans="1:12" x14ac:dyDescent="0.25">
      <c r="A41" s="2" t="s">
        <v>68</v>
      </c>
      <c r="B41" s="3">
        <v>46216</v>
      </c>
      <c r="C41" s="2" t="s">
        <v>16</v>
      </c>
      <c r="D41" s="2" t="s">
        <v>11</v>
      </c>
      <c r="E41" s="2">
        <v>1</v>
      </c>
      <c r="F41" s="2">
        <v>18000</v>
      </c>
      <c r="G41" s="2">
        <v>1000</v>
      </c>
      <c r="H41" s="2">
        <v>11340</v>
      </c>
      <c r="I41" s="2">
        <v>0</v>
      </c>
      <c r="J41" s="2">
        <v>340</v>
      </c>
      <c r="K41">
        <f t="shared" si="2"/>
        <v>17000</v>
      </c>
      <c r="L41">
        <f t="shared" si="3"/>
        <v>5320</v>
      </c>
    </row>
    <row r="42" spans="1:12" x14ac:dyDescent="0.25">
      <c r="A42" s="2" t="s">
        <v>69</v>
      </c>
      <c r="B42" s="3">
        <v>46217</v>
      </c>
      <c r="C42" s="2" t="s">
        <v>19</v>
      </c>
      <c r="D42" s="2" t="s">
        <v>17</v>
      </c>
      <c r="E42" s="2">
        <v>1</v>
      </c>
      <c r="F42" s="2">
        <v>2500</v>
      </c>
      <c r="G42" s="2">
        <v>0</v>
      </c>
      <c r="H42" s="2">
        <v>1040</v>
      </c>
      <c r="I42" s="2">
        <v>100</v>
      </c>
      <c r="J42" s="2">
        <v>75</v>
      </c>
      <c r="K42">
        <f t="shared" si="2"/>
        <v>2500</v>
      </c>
      <c r="L42">
        <f t="shared" si="3"/>
        <v>1285</v>
      </c>
    </row>
    <row r="43" spans="1:12" x14ac:dyDescent="0.25">
      <c r="A43" s="2" t="s">
        <v>70</v>
      </c>
      <c r="B43" s="3">
        <v>46218</v>
      </c>
      <c r="C43" s="2" t="s">
        <v>13</v>
      </c>
      <c r="D43" s="2" t="s">
        <v>11</v>
      </c>
      <c r="E43" s="2">
        <v>1</v>
      </c>
      <c r="F43" s="2">
        <v>12000</v>
      </c>
      <c r="G43" s="2">
        <v>0</v>
      </c>
      <c r="H43" s="2">
        <v>7428</v>
      </c>
      <c r="I43" s="2">
        <v>200</v>
      </c>
      <c r="J43" s="2">
        <v>1800</v>
      </c>
      <c r="K43">
        <f t="shared" si="2"/>
        <v>12000</v>
      </c>
      <c r="L43">
        <f t="shared" si="3"/>
        <v>2572</v>
      </c>
    </row>
    <row r="44" spans="1:12" x14ac:dyDescent="0.25">
      <c r="A44" s="2" t="s">
        <v>71</v>
      </c>
      <c r="B44" s="3">
        <v>46219</v>
      </c>
      <c r="C44" s="2" t="s">
        <v>19</v>
      </c>
      <c r="D44" s="2" t="s">
        <v>14</v>
      </c>
      <c r="E44" s="2">
        <v>2</v>
      </c>
      <c r="F44" s="2">
        <v>6000</v>
      </c>
      <c r="G44" s="2">
        <v>200</v>
      </c>
      <c r="H44" s="2">
        <v>2600</v>
      </c>
      <c r="I44" s="2">
        <v>300</v>
      </c>
      <c r="J44" s="2">
        <v>174</v>
      </c>
      <c r="K44">
        <f t="shared" si="2"/>
        <v>5800</v>
      </c>
      <c r="L44">
        <f t="shared" si="3"/>
        <v>2726</v>
      </c>
    </row>
    <row r="45" spans="1:12" x14ac:dyDescent="0.25">
      <c r="A45" s="2" t="s">
        <v>72</v>
      </c>
      <c r="B45" s="3">
        <v>46219</v>
      </c>
      <c r="C45" s="2" t="s">
        <v>16</v>
      </c>
      <c r="D45" s="2" t="s">
        <v>14</v>
      </c>
      <c r="E45" s="2">
        <v>2</v>
      </c>
      <c r="F45" s="2">
        <v>7000</v>
      </c>
      <c r="G45" s="2">
        <v>0</v>
      </c>
      <c r="H45" s="2">
        <v>3080</v>
      </c>
      <c r="I45" s="2">
        <v>0</v>
      </c>
      <c r="J45" s="2">
        <v>140</v>
      </c>
      <c r="K45">
        <f t="shared" si="2"/>
        <v>7000</v>
      </c>
      <c r="L45">
        <f t="shared" si="3"/>
        <v>3780</v>
      </c>
    </row>
    <row r="46" spans="1:12" x14ac:dyDescent="0.25">
      <c r="A46" s="2" t="s">
        <v>73</v>
      </c>
      <c r="B46" s="3">
        <v>46220</v>
      </c>
      <c r="C46" s="2" t="s">
        <v>19</v>
      </c>
      <c r="D46" s="2" t="s">
        <v>11</v>
      </c>
      <c r="E46" s="2">
        <v>1</v>
      </c>
      <c r="F46" s="2">
        <v>8000</v>
      </c>
      <c r="G46" s="2">
        <v>0</v>
      </c>
      <c r="H46" s="2">
        <v>4824</v>
      </c>
      <c r="I46" s="2">
        <v>250</v>
      </c>
      <c r="J46" s="2">
        <v>240</v>
      </c>
      <c r="K46">
        <f t="shared" si="2"/>
        <v>8000</v>
      </c>
      <c r="L46">
        <f t="shared" si="3"/>
        <v>2686</v>
      </c>
    </row>
    <row r="47" spans="1:12" x14ac:dyDescent="0.25">
      <c r="A47" s="2" t="s">
        <v>74</v>
      </c>
      <c r="B47" s="3">
        <v>46220</v>
      </c>
      <c r="C47" s="2" t="s">
        <v>13</v>
      </c>
      <c r="D47" s="2" t="s">
        <v>11</v>
      </c>
      <c r="E47" s="2">
        <v>2</v>
      </c>
      <c r="F47" s="2">
        <v>36000</v>
      </c>
      <c r="G47" s="2">
        <v>1000</v>
      </c>
      <c r="H47" s="2">
        <v>22140</v>
      </c>
      <c r="I47" s="2">
        <v>400</v>
      </c>
      <c r="J47" s="2">
        <v>5250</v>
      </c>
      <c r="K47">
        <f t="shared" si="2"/>
        <v>35000</v>
      </c>
      <c r="L47">
        <f t="shared" si="3"/>
        <v>7210</v>
      </c>
    </row>
    <row r="48" spans="1:12" x14ac:dyDescent="0.25">
      <c r="A48" s="2" t="s">
        <v>75</v>
      </c>
      <c r="B48" s="3">
        <v>46221</v>
      </c>
      <c r="C48" s="2" t="s">
        <v>13</v>
      </c>
      <c r="D48" s="2" t="s">
        <v>17</v>
      </c>
      <c r="E48" s="2">
        <v>2</v>
      </c>
      <c r="F48" s="2">
        <v>2000</v>
      </c>
      <c r="G48" s="2">
        <v>0</v>
      </c>
      <c r="H48" s="2">
        <v>824</v>
      </c>
      <c r="I48" s="2">
        <v>200</v>
      </c>
      <c r="J48" s="2">
        <v>300</v>
      </c>
      <c r="K48">
        <f t="shared" si="2"/>
        <v>2000</v>
      </c>
      <c r="L48">
        <f t="shared" si="3"/>
        <v>676</v>
      </c>
    </row>
    <row r="49" spans="1:12" x14ac:dyDescent="0.25">
      <c r="A49" s="2" t="s">
        <v>76</v>
      </c>
      <c r="B49" s="3">
        <v>46221</v>
      </c>
      <c r="C49" s="2" t="s">
        <v>19</v>
      </c>
      <c r="D49" s="2" t="s">
        <v>17</v>
      </c>
      <c r="E49" s="2">
        <v>1</v>
      </c>
      <c r="F49" s="2">
        <v>1500</v>
      </c>
      <c r="G49" s="2">
        <v>0</v>
      </c>
      <c r="H49" s="2">
        <v>658</v>
      </c>
      <c r="I49" s="2">
        <v>100</v>
      </c>
      <c r="J49" s="2">
        <v>45</v>
      </c>
      <c r="K49">
        <f t="shared" si="2"/>
        <v>1500</v>
      </c>
      <c r="L49">
        <f t="shared" si="3"/>
        <v>697</v>
      </c>
    </row>
    <row r="50" spans="1:12" x14ac:dyDescent="0.25">
      <c r="A50" s="2" t="s">
        <v>77</v>
      </c>
      <c r="B50" s="3">
        <v>46221</v>
      </c>
      <c r="C50" s="2" t="s">
        <v>16</v>
      </c>
      <c r="D50" s="2" t="s">
        <v>11</v>
      </c>
      <c r="E50" s="2">
        <v>1</v>
      </c>
      <c r="F50" s="2">
        <v>15000</v>
      </c>
      <c r="G50" s="2">
        <v>500</v>
      </c>
      <c r="H50" s="2">
        <v>9450</v>
      </c>
      <c r="I50" s="2">
        <v>0</v>
      </c>
      <c r="J50" s="2">
        <v>290</v>
      </c>
      <c r="K50">
        <f t="shared" si="2"/>
        <v>14500</v>
      </c>
      <c r="L50">
        <f t="shared" si="3"/>
        <v>4760</v>
      </c>
    </row>
    <row r="51" spans="1:12" x14ac:dyDescent="0.25">
      <c r="A51" s="2" t="s">
        <v>78</v>
      </c>
      <c r="B51" s="3">
        <v>46221</v>
      </c>
      <c r="C51" s="2" t="s">
        <v>19</v>
      </c>
      <c r="D51" s="2" t="s">
        <v>14</v>
      </c>
      <c r="E51" s="2">
        <v>1</v>
      </c>
      <c r="F51" s="2">
        <v>4500</v>
      </c>
      <c r="G51" s="2">
        <v>500</v>
      </c>
      <c r="H51" s="2">
        <v>2028</v>
      </c>
      <c r="I51" s="2">
        <v>150</v>
      </c>
      <c r="J51" s="2">
        <v>135</v>
      </c>
      <c r="K51">
        <f t="shared" si="2"/>
        <v>4000</v>
      </c>
      <c r="L51">
        <f t="shared" si="3"/>
        <v>1687</v>
      </c>
    </row>
    <row r="52" spans="1:12" x14ac:dyDescent="0.25">
      <c r="A52" s="2" t="s">
        <v>79</v>
      </c>
      <c r="B52" s="3">
        <v>46222</v>
      </c>
      <c r="C52" s="2" t="s">
        <v>13</v>
      </c>
      <c r="D52" s="2" t="s">
        <v>11</v>
      </c>
      <c r="E52" s="2">
        <v>1</v>
      </c>
      <c r="F52" s="2">
        <v>22000</v>
      </c>
      <c r="G52" s="2">
        <v>1500</v>
      </c>
      <c r="H52" s="2">
        <v>13860</v>
      </c>
      <c r="I52" s="2">
        <v>200</v>
      </c>
      <c r="J52" s="2">
        <v>3075</v>
      </c>
      <c r="K52">
        <f t="shared" ref="K52:K76" si="4">F52-G52</f>
        <v>20500</v>
      </c>
      <c r="L52">
        <f t="shared" ref="L52:L76" si="5">K52-H52-I52-J52</f>
        <v>3365</v>
      </c>
    </row>
    <row r="53" spans="1:12" x14ac:dyDescent="0.25">
      <c r="A53" s="2" t="s">
        <v>80</v>
      </c>
      <c r="B53" s="3">
        <v>46223</v>
      </c>
      <c r="C53" s="2" t="s">
        <v>16</v>
      </c>
      <c r="D53" s="2" t="s">
        <v>17</v>
      </c>
      <c r="E53" s="2">
        <v>2</v>
      </c>
      <c r="F53" s="2">
        <v>3000</v>
      </c>
      <c r="G53" s="2">
        <v>0</v>
      </c>
      <c r="H53" s="2">
        <v>1260</v>
      </c>
      <c r="I53" s="2">
        <v>0</v>
      </c>
      <c r="J53" s="2">
        <v>60</v>
      </c>
      <c r="K53">
        <f t="shared" si="4"/>
        <v>3000</v>
      </c>
      <c r="L53">
        <f t="shared" si="5"/>
        <v>1680</v>
      </c>
    </row>
    <row r="54" spans="1:12" x14ac:dyDescent="0.25">
      <c r="A54" s="2" t="s">
        <v>81</v>
      </c>
      <c r="B54" s="3">
        <v>46224</v>
      </c>
      <c r="C54" s="2" t="s">
        <v>19</v>
      </c>
      <c r="D54" s="2" t="s">
        <v>11</v>
      </c>
      <c r="E54" s="2">
        <v>1</v>
      </c>
      <c r="F54" s="2">
        <v>18000</v>
      </c>
      <c r="G54" s="2">
        <v>1000</v>
      </c>
      <c r="H54" s="2">
        <v>10620</v>
      </c>
      <c r="I54" s="2">
        <v>250</v>
      </c>
      <c r="J54" s="2">
        <v>510</v>
      </c>
      <c r="K54">
        <f t="shared" si="4"/>
        <v>17000</v>
      </c>
      <c r="L54">
        <f t="shared" si="5"/>
        <v>5620</v>
      </c>
    </row>
    <row r="55" spans="1:12" x14ac:dyDescent="0.25">
      <c r="A55" s="2" t="s">
        <v>82</v>
      </c>
      <c r="B55" s="3">
        <v>46225</v>
      </c>
      <c r="C55" s="2" t="s">
        <v>13</v>
      </c>
      <c r="D55" s="2" t="s">
        <v>14</v>
      </c>
      <c r="E55" s="2">
        <v>1</v>
      </c>
      <c r="F55" s="2">
        <v>6000</v>
      </c>
      <c r="G55" s="2">
        <v>500</v>
      </c>
      <c r="H55" s="2">
        <v>2640</v>
      </c>
      <c r="I55" s="2">
        <v>150</v>
      </c>
      <c r="J55" s="2">
        <v>825</v>
      </c>
      <c r="K55">
        <f t="shared" si="4"/>
        <v>5500</v>
      </c>
      <c r="L55">
        <f t="shared" si="5"/>
        <v>1885</v>
      </c>
    </row>
    <row r="56" spans="1:12" x14ac:dyDescent="0.25">
      <c r="A56" s="2" t="s">
        <v>83</v>
      </c>
      <c r="B56" s="3">
        <v>46226</v>
      </c>
      <c r="C56" s="2" t="s">
        <v>19</v>
      </c>
      <c r="D56" s="2" t="s">
        <v>14</v>
      </c>
      <c r="E56" s="2">
        <v>2</v>
      </c>
      <c r="F56" s="2">
        <v>9000</v>
      </c>
      <c r="G56" s="2">
        <v>0</v>
      </c>
      <c r="H56" s="2">
        <v>4230</v>
      </c>
      <c r="I56" s="2">
        <v>300</v>
      </c>
      <c r="J56" s="2">
        <v>270</v>
      </c>
      <c r="K56">
        <f t="shared" si="4"/>
        <v>9000</v>
      </c>
      <c r="L56">
        <f t="shared" si="5"/>
        <v>4200</v>
      </c>
    </row>
    <row r="57" spans="1:12" x14ac:dyDescent="0.25">
      <c r="A57" s="2" t="s">
        <v>84</v>
      </c>
      <c r="B57" s="3">
        <v>46227</v>
      </c>
      <c r="C57" s="2" t="s">
        <v>16</v>
      </c>
      <c r="D57" s="2" t="s">
        <v>11</v>
      </c>
      <c r="E57" s="2">
        <v>1</v>
      </c>
      <c r="F57" s="2">
        <v>15000</v>
      </c>
      <c r="G57" s="2">
        <v>0</v>
      </c>
      <c r="H57" s="2">
        <v>8700</v>
      </c>
      <c r="I57" s="2">
        <v>0</v>
      </c>
      <c r="J57" s="2">
        <v>300</v>
      </c>
      <c r="K57">
        <f t="shared" si="4"/>
        <v>15000</v>
      </c>
      <c r="L57">
        <f t="shared" si="5"/>
        <v>6000</v>
      </c>
    </row>
    <row r="58" spans="1:12" x14ac:dyDescent="0.25">
      <c r="A58" s="2" t="s">
        <v>85</v>
      </c>
      <c r="B58" s="3">
        <v>46228</v>
      </c>
      <c r="C58" s="2" t="s">
        <v>13</v>
      </c>
      <c r="D58" s="2" t="s">
        <v>11</v>
      </c>
      <c r="E58" s="2">
        <v>1</v>
      </c>
      <c r="F58" s="2">
        <v>12000</v>
      </c>
      <c r="G58" s="2">
        <v>1000</v>
      </c>
      <c r="H58" s="2">
        <v>6820</v>
      </c>
      <c r="I58" s="2">
        <v>200</v>
      </c>
      <c r="J58" s="2">
        <v>1650</v>
      </c>
      <c r="K58">
        <f t="shared" si="4"/>
        <v>11000</v>
      </c>
      <c r="L58">
        <f t="shared" si="5"/>
        <v>2330</v>
      </c>
    </row>
    <row r="59" spans="1:12" x14ac:dyDescent="0.25">
      <c r="A59" s="2" t="s">
        <v>86</v>
      </c>
      <c r="B59" s="3">
        <v>46229</v>
      </c>
      <c r="C59" s="2" t="s">
        <v>19</v>
      </c>
      <c r="D59" s="2" t="s">
        <v>17</v>
      </c>
      <c r="E59" s="2">
        <v>3</v>
      </c>
      <c r="F59" s="2">
        <v>4500</v>
      </c>
      <c r="G59" s="2">
        <v>200</v>
      </c>
      <c r="H59" s="2">
        <v>1890</v>
      </c>
      <c r="I59" s="2">
        <v>300</v>
      </c>
      <c r="J59" s="2">
        <v>129</v>
      </c>
      <c r="K59">
        <f t="shared" si="4"/>
        <v>4300</v>
      </c>
      <c r="L59">
        <f t="shared" si="5"/>
        <v>1981</v>
      </c>
    </row>
    <row r="60" spans="1:12" x14ac:dyDescent="0.25">
      <c r="A60" s="2" t="s">
        <v>87</v>
      </c>
      <c r="B60" s="3">
        <v>46230</v>
      </c>
      <c r="C60" s="2" t="s">
        <v>13</v>
      </c>
      <c r="D60" s="2" t="s">
        <v>17</v>
      </c>
      <c r="E60" s="2">
        <v>1</v>
      </c>
      <c r="F60" s="2">
        <v>2500</v>
      </c>
      <c r="G60" s="2">
        <v>0</v>
      </c>
      <c r="H60" s="2">
        <v>1025</v>
      </c>
      <c r="I60" s="2">
        <v>100</v>
      </c>
      <c r="J60" s="2">
        <v>375</v>
      </c>
      <c r="K60">
        <f t="shared" si="4"/>
        <v>2500</v>
      </c>
      <c r="L60">
        <f t="shared" si="5"/>
        <v>1000</v>
      </c>
    </row>
    <row r="61" spans="1:12" x14ac:dyDescent="0.25">
      <c r="A61" s="2" t="s">
        <v>88</v>
      </c>
      <c r="B61" s="3">
        <v>46231</v>
      </c>
      <c r="C61" s="2" t="s">
        <v>16</v>
      </c>
      <c r="D61" s="2" t="s">
        <v>14</v>
      </c>
      <c r="E61" s="2">
        <v>1</v>
      </c>
      <c r="F61" s="2">
        <v>4500</v>
      </c>
      <c r="G61" s="2">
        <v>0</v>
      </c>
      <c r="H61" s="2">
        <v>2070</v>
      </c>
      <c r="I61" s="2">
        <v>0</v>
      </c>
      <c r="J61" s="2">
        <v>90</v>
      </c>
      <c r="K61">
        <f t="shared" si="4"/>
        <v>4500</v>
      </c>
      <c r="L61">
        <f t="shared" si="5"/>
        <v>2340</v>
      </c>
    </row>
    <row r="62" spans="1:12" x14ac:dyDescent="0.25">
      <c r="A62" s="2" t="s">
        <v>89</v>
      </c>
      <c r="B62" s="3">
        <v>46232</v>
      </c>
      <c r="C62" s="2" t="s">
        <v>19</v>
      </c>
      <c r="D62" s="2" t="s">
        <v>11</v>
      </c>
      <c r="E62" s="2">
        <v>1</v>
      </c>
      <c r="F62" s="2">
        <v>22000</v>
      </c>
      <c r="G62" s="2">
        <v>2000</v>
      </c>
      <c r="H62" s="2">
        <v>12200</v>
      </c>
      <c r="I62" s="2">
        <v>250</v>
      </c>
      <c r="J62" s="2">
        <v>600</v>
      </c>
      <c r="K62">
        <f t="shared" si="4"/>
        <v>20000</v>
      </c>
      <c r="L62">
        <f t="shared" si="5"/>
        <v>6950</v>
      </c>
    </row>
    <row r="63" spans="1:12" x14ac:dyDescent="0.25">
      <c r="A63" s="2" t="s">
        <v>90</v>
      </c>
      <c r="B63" s="3">
        <v>46233</v>
      </c>
      <c r="C63" s="2" t="s">
        <v>13</v>
      </c>
      <c r="D63" s="2" t="s">
        <v>14</v>
      </c>
      <c r="E63" s="2">
        <v>2</v>
      </c>
      <c r="F63" s="2">
        <v>12000</v>
      </c>
      <c r="G63" s="2">
        <v>1000</v>
      </c>
      <c r="H63" s="2">
        <v>5160</v>
      </c>
      <c r="I63" s="2">
        <v>300</v>
      </c>
      <c r="J63" s="2">
        <v>1650</v>
      </c>
      <c r="K63">
        <f t="shared" si="4"/>
        <v>11000</v>
      </c>
      <c r="L63">
        <f t="shared" si="5"/>
        <v>3890</v>
      </c>
    </row>
    <row r="64" spans="1:12" x14ac:dyDescent="0.25">
      <c r="A64" s="2" t="s">
        <v>91</v>
      </c>
      <c r="B64" s="3">
        <v>46234</v>
      </c>
      <c r="C64" s="2" t="s">
        <v>19</v>
      </c>
      <c r="D64" s="2" t="s">
        <v>14</v>
      </c>
      <c r="E64" s="2">
        <v>1</v>
      </c>
      <c r="F64" s="2">
        <v>3500</v>
      </c>
      <c r="G64" s="2">
        <v>0</v>
      </c>
      <c r="H64" s="2">
        <v>1540</v>
      </c>
      <c r="I64" s="2">
        <v>150</v>
      </c>
      <c r="J64" s="2">
        <v>105</v>
      </c>
      <c r="K64">
        <f t="shared" si="4"/>
        <v>3500</v>
      </c>
      <c r="L64">
        <f t="shared" si="5"/>
        <v>1705</v>
      </c>
    </row>
    <row r="65" spans="1:12" x14ac:dyDescent="0.25">
      <c r="A65" s="2" t="s">
        <v>92</v>
      </c>
      <c r="B65" s="3">
        <v>46235</v>
      </c>
      <c r="C65" s="2" t="s">
        <v>16</v>
      </c>
      <c r="D65" s="2" t="s">
        <v>11</v>
      </c>
      <c r="E65" s="2">
        <v>1</v>
      </c>
      <c r="F65" s="2">
        <v>18000</v>
      </c>
      <c r="G65" s="2">
        <v>500</v>
      </c>
      <c r="H65" s="2">
        <v>10150</v>
      </c>
      <c r="I65" s="2">
        <v>0</v>
      </c>
      <c r="J65" s="2">
        <v>350</v>
      </c>
      <c r="K65">
        <f t="shared" si="4"/>
        <v>17500</v>
      </c>
      <c r="L65">
        <f t="shared" si="5"/>
        <v>7000</v>
      </c>
    </row>
    <row r="66" spans="1:12" x14ac:dyDescent="0.25">
      <c r="A66" s="2" t="s">
        <v>93</v>
      </c>
      <c r="B66" s="3">
        <v>46236</v>
      </c>
      <c r="C66" s="2" t="s">
        <v>13</v>
      </c>
      <c r="D66" s="2" t="s">
        <v>11</v>
      </c>
      <c r="E66" s="2">
        <v>2</v>
      </c>
      <c r="F66" s="2">
        <v>30000</v>
      </c>
      <c r="G66" s="2">
        <v>2000</v>
      </c>
      <c r="H66" s="2">
        <v>17400</v>
      </c>
      <c r="I66" s="2">
        <v>400</v>
      </c>
      <c r="J66" s="2">
        <v>4200</v>
      </c>
      <c r="K66">
        <f t="shared" si="4"/>
        <v>28000</v>
      </c>
      <c r="L66">
        <f t="shared" si="5"/>
        <v>6000</v>
      </c>
    </row>
    <row r="67" spans="1:12" x14ac:dyDescent="0.25">
      <c r="A67" s="2" t="s">
        <v>94</v>
      </c>
      <c r="B67" s="3">
        <v>46237</v>
      </c>
      <c r="C67" s="2" t="s">
        <v>19</v>
      </c>
      <c r="D67" s="2" t="s">
        <v>11</v>
      </c>
      <c r="E67" s="2">
        <v>1</v>
      </c>
      <c r="F67" s="2">
        <v>15000</v>
      </c>
      <c r="G67" s="2">
        <v>0</v>
      </c>
      <c r="H67" s="2">
        <v>9150</v>
      </c>
      <c r="I67" s="2">
        <v>250</v>
      </c>
      <c r="J67" s="2">
        <v>450</v>
      </c>
      <c r="K67">
        <f t="shared" si="4"/>
        <v>15000</v>
      </c>
      <c r="L67">
        <f t="shared" si="5"/>
        <v>5150</v>
      </c>
    </row>
    <row r="68" spans="1:12" x14ac:dyDescent="0.25">
      <c r="A68" s="2" t="s">
        <v>95</v>
      </c>
      <c r="B68" s="3">
        <v>46238</v>
      </c>
      <c r="C68" s="2" t="s">
        <v>19</v>
      </c>
      <c r="D68" s="2" t="s">
        <v>17</v>
      </c>
      <c r="E68" s="2">
        <v>1</v>
      </c>
      <c r="F68" s="2">
        <v>1000</v>
      </c>
      <c r="G68" s="2">
        <v>0</v>
      </c>
      <c r="H68" s="2">
        <v>410</v>
      </c>
      <c r="I68" s="2">
        <v>100</v>
      </c>
      <c r="J68" s="2">
        <v>30</v>
      </c>
      <c r="K68">
        <f t="shared" si="4"/>
        <v>1000</v>
      </c>
      <c r="L68">
        <f t="shared" si="5"/>
        <v>460</v>
      </c>
    </row>
    <row r="69" spans="1:12" x14ac:dyDescent="0.25">
      <c r="A69" s="2" t="s">
        <v>96</v>
      </c>
      <c r="B69" s="3">
        <v>46239</v>
      </c>
      <c r="C69" s="2" t="s">
        <v>16</v>
      </c>
      <c r="D69" s="2" t="s">
        <v>17</v>
      </c>
      <c r="E69" s="2">
        <v>1</v>
      </c>
      <c r="F69" s="2">
        <v>2500</v>
      </c>
      <c r="G69" s="2">
        <v>0</v>
      </c>
      <c r="H69" s="2">
        <v>1050</v>
      </c>
      <c r="I69" s="2">
        <v>0</v>
      </c>
      <c r="J69" s="2">
        <v>50</v>
      </c>
      <c r="K69">
        <f t="shared" si="4"/>
        <v>2500</v>
      </c>
      <c r="L69">
        <f t="shared" si="5"/>
        <v>1400</v>
      </c>
    </row>
    <row r="70" spans="1:12" x14ac:dyDescent="0.25">
      <c r="A70" s="2" t="s">
        <v>97</v>
      </c>
      <c r="B70" s="3">
        <v>46240</v>
      </c>
      <c r="C70" s="2" t="s">
        <v>13</v>
      </c>
      <c r="D70" s="2" t="s">
        <v>11</v>
      </c>
      <c r="E70" s="2">
        <v>1</v>
      </c>
      <c r="F70" s="2">
        <v>8000</v>
      </c>
      <c r="G70" s="2">
        <v>500</v>
      </c>
      <c r="H70" s="2">
        <v>4880</v>
      </c>
      <c r="I70" s="2">
        <v>200</v>
      </c>
      <c r="J70" s="2">
        <v>1125</v>
      </c>
      <c r="K70">
        <f t="shared" si="4"/>
        <v>7500</v>
      </c>
      <c r="L70">
        <f t="shared" si="5"/>
        <v>1295</v>
      </c>
    </row>
    <row r="71" spans="1:12" x14ac:dyDescent="0.25">
      <c r="A71" s="2" t="s">
        <v>98</v>
      </c>
      <c r="B71" s="3">
        <v>46241</v>
      </c>
      <c r="C71" s="2" t="s">
        <v>19</v>
      </c>
      <c r="D71" s="2" t="s">
        <v>14</v>
      </c>
      <c r="E71" s="2">
        <v>2</v>
      </c>
      <c r="F71" s="2">
        <v>7000</v>
      </c>
      <c r="G71" s="2">
        <v>500</v>
      </c>
      <c r="H71" s="2">
        <v>3010</v>
      </c>
      <c r="I71" s="2">
        <v>300</v>
      </c>
      <c r="J71" s="2">
        <v>195</v>
      </c>
      <c r="K71">
        <f t="shared" si="4"/>
        <v>6500</v>
      </c>
      <c r="L71">
        <f t="shared" si="5"/>
        <v>2995</v>
      </c>
    </row>
    <row r="72" spans="1:12" x14ac:dyDescent="0.25">
      <c r="A72" s="2" t="s">
        <v>99</v>
      </c>
      <c r="B72" s="3">
        <v>46242</v>
      </c>
      <c r="C72" s="2" t="s">
        <v>13</v>
      </c>
      <c r="D72" s="2" t="s">
        <v>14</v>
      </c>
      <c r="E72" s="2">
        <v>1</v>
      </c>
      <c r="F72" s="2">
        <v>3500</v>
      </c>
      <c r="G72" s="2">
        <v>0</v>
      </c>
      <c r="H72" s="2">
        <v>1505</v>
      </c>
      <c r="I72" s="2">
        <v>150</v>
      </c>
      <c r="J72" s="2">
        <v>525</v>
      </c>
      <c r="K72">
        <f t="shared" si="4"/>
        <v>3500</v>
      </c>
      <c r="L72">
        <f t="shared" si="5"/>
        <v>1320</v>
      </c>
    </row>
    <row r="73" spans="1:12" x14ac:dyDescent="0.25">
      <c r="A73" s="2" t="s">
        <v>100</v>
      </c>
      <c r="B73" s="3">
        <v>46243</v>
      </c>
      <c r="C73" s="2" t="s">
        <v>16</v>
      </c>
      <c r="D73" s="2" t="s">
        <v>11</v>
      </c>
      <c r="E73" s="2">
        <v>1</v>
      </c>
      <c r="F73" s="2">
        <v>22000</v>
      </c>
      <c r="G73" s="2">
        <v>1000</v>
      </c>
      <c r="H73" s="2">
        <v>12760</v>
      </c>
      <c r="I73" s="2">
        <v>0</v>
      </c>
      <c r="J73" s="2">
        <v>420</v>
      </c>
      <c r="K73">
        <f t="shared" si="4"/>
        <v>21000</v>
      </c>
      <c r="L73">
        <f t="shared" si="5"/>
        <v>7820</v>
      </c>
    </row>
    <row r="74" spans="1:12" x14ac:dyDescent="0.25">
      <c r="A74" s="2" t="s">
        <v>101</v>
      </c>
      <c r="B74" s="3">
        <v>46244</v>
      </c>
      <c r="C74" s="2" t="s">
        <v>19</v>
      </c>
      <c r="D74" s="2" t="s">
        <v>11</v>
      </c>
      <c r="E74" s="2">
        <v>1</v>
      </c>
      <c r="F74" s="2">
        <v>12000</v>
      </c>
      <c r="G74" s="2">
        <v>0</v>
      </c>
      <c r="H74" s="2">
        <v>7200</v>
      </c>
      <c r="I74" s="2">
        <v>250</v>
      </c>
      <c r="J74" s="2">
        <v>360</v>
      </c>
      <c r="K74">
        <f t="shared" si="4"/>
        <v>12000</v>
      </c>
      <c r="L74">
        <f t="shared" si="5"/>
        <v>4190</v>
      </c>
    </row>
    <row r="75" spans="1:12" x14ac:dyDescent="0.25">
      <c r="A75" s="2" t="s">
        <v>102</v>
      </c>
      <c r="B75" s="3">
        <v>46245</v>
      </c>
      <c r="C75" s="2" t="s">
        <v>13</v>
      </c>
      <c r="D75" s="2" t="s">
        <v>17</v>
      </c>
      <c r="E75" s="2">
        <v>2</v>
      </c>
      <c r="F75" s="2">
        <v>5000</v>
      </c>
      <c r="G75" s="2">
        <v>200</v>
      </c>
      <c r="H75" s="2">
        <v>2064</v>
      </c>
      <c r="I75" s="2">
        <v>200</v>
      </c>
      <c r="J75" s="2">
        <v>720</v>
      </c>
      <c r="K75">
        <f t="shared" si="4"/>
        <v>4800</v>
      </c>
      <c r="L75">
        <f t="shared" si="5"/>
        <v>1816</v>
      </c>
    </row>
    <row r="76" spans="1:12" x14ac:dyDescent="0.25">
      <c r="A76" s="2" t="s">
        <v>103</v>
      </c>
      <c r="B76" s="3">
        <v>46246</v>
      </c>
      <c r="C76" s="2" t="s">
        <v>19</v>
      </c>
      <c r="D76" s="2" t="s">
        <v>17</v>
      </c>
      <c r="E76" s="2">
        <v>1</v>
      </c>
      <c r="F76" s="2">
        <v>1500</v>
      </c>
      <c r="G76" s="2">
        <v>0</v>
      </c>
      <c r="H76" s="2">
        <v>630</v>
      </c>
      <c r="I76" s="2">
        <v>100</v>
      </c>
      <c r="J76" s="2">
        <v>45</v>
      </c>
      <c r="K76">
        <f t="shared" si="4"/>
        <v>1500</v>
      </c>
      <c r="L76">
        <f t="shared" si="5"/>
        <v>725</v>
      </c>
    </row>
    <row r="77" spans="1:12" x14ac:dyDescent="0.25">
      <c r="A77" s="2" t="s">
        <v>104</v>
      </c>
      <c r="B77" s="3">
        <v>46247</v>
      </c>
      <c r="C77" s="2" t="s">
        <v>16</v>
      </c>
      <c r="D77" s="2" t="s">
        <v>14</v>
      </c>
      <c r="E77" s="2">
        <v>2</v>
      </c>
      <c r="F77" s="2">
        <v>8000</v>
      </c>
      <c r="G77" s="2">
        <v>0</v>
      </c>
      <c r="H77" s="2">
        <v>3440</v>
      </c>
      <c r="I77" s="2">
        <v>0</v>
      </c>
      <c r="J77" s="2">
        <v>160</v>
      </c>
      <c r="K77">
        <f t="shared" ref="K77:K100" si="6">F77-G77</f>
        <v>8000</v>
      </c>
      <c r="L77">
        <f t="shared" ref="L77:L100" si="7">K77-H77-I77-J77</f>
        <v>4400</v>
      </c>
    </row>
    <row r="78" spans="1:12" x14ac:dyDescent="0.25">
      <c r="A78" s="2" t="s">
        <v>105</v>
      </c>
      <c r="B78" s="3">
        <v>46248</v>
      </c>
      <c r="C78" s="2" t="s">
        <v>13</v>
      </c>
      <c r="D78" s="2" t="s">
        <v>11</v>
      </c>
      <c r="E78" s="2">
        <v>1</v>
      </c>
      <c r="F78" s="2">
        <v>15000</v>
      </c>
      <c r="G78" s="2">
        <v>1000</v>
      </c>
      <c r="H78" s="2">
        <v>9150</v>
      </c>
      <c r="I78" s="2">
        <v>200</v>
      </c>
      <c r="J78" s="2">
        <v>2100</v>
      </c>
      <c r="K78">
        <f t="shared" si="6"/>
        <v>14000</v>
      </c>
      <c r="L78">
        <f t="shared" si="7"/>
        <v>2550</v>
      </c>
    </row>
    <row r="79" spans="1:12" x14ac:dyDescent="0.25">
      <c r="A79" s="2" t="s">
        <v>106</v>
      </c>
      <c r="B79" s="3">
        <v>46249</v>
      </c>
      <c r="C79" s="2" t="s">
        <v>19</v>
      </c>
      <c r="D79" s="2" t="s">
        <v>11</v>
      </c>
      <c r="E79" s="2">
        <v>2</v>
      </c>
      <c r="F79" s="2">
        <v>30000</v>
      </c>
      <c r="G79" s="2">
        <v>2000</v>
      </c>
      <c r="H79" s="2">
        <v>17700</v>
      </c>
      <c r="I79" s="2">
        <v>500</v>
      </c>
      <c r="J79" s="2">
        <v>900</v>
      </c>
      <c r="K79">
        <f t="shared" si="6"/>
        <v>28000</v>
      </c>
      <c r="L79">
        <f t="shared" si="7"/>
        <v>8900</v>
      </c>
    </row>
    <row r="80" spans="1:12" x14ac:dyDescent="0.25">
      <c r="A80" s="2" t="s">
        <v>107</v>
      </c>
      <c r="B80" s="3">
        <v>46250</v>
      </c>
      <c r="C80" s="2" t="s">
        <v>19</v>
      </c>
      <c r="D80" s="2" t="s">
        <v>14</v>
      </c>
      <c r="E80" s="2">
        <v>1</v>
      </c>
      <c r="F80" s="2">
        <v>2500</v>
      </c>
      <c r="G80" s="2">
        <v>0</v>
      </c>
      <c r="H80" s="2">
        <v>1025</v>
      </c>
      <c r="I80" s="2">
        <v>150</v>
      </c>
      <c r="J80" s="2">
        <v>75</v>
      </c>
      <c r="K80">
        <f t="shared" si="6"/>
        <v>2500</v>
      </c>
      <c r="L80">
        <f t="shared" si="7"/>
        <v>1250</v>
      </c>
    </row>
    <row r="81" spans="1:12" x14ac:dyDescent="0.25">
      <c r="A81" s="2" t="s">
        <v>108</v>
      </c>
      <c r="B81" s="3">
        <v>46251</v>
      </c>
      <c r="C81" s="2" t="s">
        <v>16</v>
      </c>
      <c r="D81" s="2" t="s">
        <v>17</v>
      </c>
      <c r="E81" s="2">
        <v>1</v>
      </c>
      <c r="F81" s="2">
        <v>1500</v>
      </c>
      <c r="G81" s="2">
        <v>0</v>
      </c>
      <c r="H81" s="2">
        <v>615</v>
      </c>
      <c r="I81" s="2">
        <v>0</v>
      </c>
      <c r="J81" s="2">
        <v>30</v>
      </c>
      <c r="K81">
        <f t="shared" si="6"/>
        <v>1500</v>
      </c>
      <c r="L81">
        <f t="shared" si="7"/>
        <v>855</v>
      </c>
    </row>
    <row r="82" spans="1:12" x14ac:dyDescent="0.25">
      <c r="A82" s="2" t="s">
        <v>109</v>
      </c>
      <c r="B82" s="3">
        <v>46252</v>
      </c>
      <c r="C82" s="2" t="s">
        <v>13</v>
      </c>
      <c r="D82" s="2" t="s">
        <v>11</v>
      </c>
      <c r="E82" s="2">
        <v>1</v>
      </c>
      <c r="F82" s="2">
        <v>18000</v>
      </c>
      <c r="G82" s="2">
        <v>0</v>
      </c>
      <c r="H82" s="2">
        <v>10440</v>
      </c>
      <c r="I82" s="2">
        <v>200</v>
      </c>
      <c r="J82" s="2">
        <v>2700</v>
      </c>
      <c r="K82">
        <f t="shared" si="6"/>
        <v>18000</v>
      </c>
      <c r="L82">
        <f t="shared" si="7"/>
        <v>4660</v>
      </c>
    </row>
    <row r="83" spans="1:12" x14ac:dyDescent="0.25">
      <c r="A83" s="2" t="s">
        <v>110</v>
      </c>
      <c r="B83" s="3">
        <v>46253</v>
      </c>
      <c r="C83" s="2" t="s">
        <v>19</v>
      </c>
      <c r="D83" s="2" t="s">
        <v>17</v>
      </c>
      <c r="E83" s="2">
        <v>2</v>
      </c>
      <c r="F83" s="2">
        <v>3000</v>
      </c>
      <c r="G83" s="2">
        <v>0</v>
      </c>
      <c r="H83" s="2">
        <v>1230</v>
      </c>
      <c r="I83" s="2">
        <v>200</v>
      </c>
      <c r="J83" s="2">
        <v>90</v>
      </c>
      <c r="K83">
        <f t="shared" si="6"/>
        <v>3000</v>
      </c>
      <c r="L83">
        <f t="shared" si="7"/>
        <v>1480</v>
      </c>
    </row>
    <row r="84" spans="1:12" x14ac:dyDescent="0.25">
      <c r="A84" s="2" t="s">
        <v>111</v>
      </c>
      <c r="B84" s="3">
        <v>46254</v>
      </c>
      <c r="C84" s="2" t="s">
        <v>13</v>
      </c>
      <c r="D84" s="2" t="s">
        <v>14</v>
      </c>
      <c r="E84" s="2">
        <v>3</v>
      </c>
      <c r="F84" s="2">
        <v>13500</v>
      </c>
      <c r="G84" s="2">
        <v>500</v>
      </c>
      <c r="H84" s="2">
        <v>5940</v>
      </c>
      <c r="I84" s="2">
        <v>450</v>
      </c>
      <c r="J84" s="2">
        <v>2025</v>
      </c>
      <c r="K84">
        <f t="shared" si="6"/>
        <v>13000</v>
      </c>
      <c r="L84">
        <f t="shared" si="7"/>
        <v>4585</v>
      </c>
    </row>
    <row r="85" spans="1:12" x14ac:dyDescent="0.25">
      <c r="A85" s="2" t="s">
        <v>112</v>
      </c>
      <c r="B85" s="3">
        <v>46255</v>
      </c>
      <c r="C85" s="2" t="s">
        <v>19</v>
      </c>
      <c r="D85" s="2" t="s">
        <v>11</v>
      </c>
      <c r="E85" s="2">
        <v>1</v>
      </c>
      <c r="F85" s="2">
        <v>12000</v>
      </c>
      <c r="G85" s="2">
        <v>500</v>
      </c>
      <c r="H85" s="2">
        <v>7140</v>
      </c>
      <c r="I85" s="2">
        <v>250</v>
      </c>
      <c r="J85" s="2">
        <v>345</v>
      </c>
      <c r="K85">
        <f t="shared" si="6"/>
        <v>11500</v>
      </c>
      <c r="L85">
        <f t="shared" si="7"/>
        <v>3765</v>
      </c>
    </row>
    <row r="86" spans="1:12" x14ac:dyDescent="0.25">
      <c r="A86" s="2" t="s">
        <v>113</v>
      </c>
      <c r="B86" s="3">
        <v>46256</v>
      </c>
      <c r="C86" s="2" t="s">
        <v>16</v>
      </c>
      <c r="D86" s="2" t="s">
        <v>11</v>
      </c>
      <c r="E86" s="2">
        <v>1</v>
      </c>
      <c r="F86" s="2">
        <v>22000</v>
      </c>
      <c r="G86" s="2">
        <v>1000</v>
      </c>
      <c r="H86" s="2">
        <v>13420</v>
      </c>
      <c r="I86" s="2">
        <v>0</v>
      </c>
      <c r="J86" s="2">
        <v>440</v>
      </c>
      <c r="K86">
        <f t="shared" si="6"/>
        <v>21000</v>
      </c>
      <c r="L86">
        <f t="shared" si="7"/>
        <v>7140</v>
      </c>
    </row>
    <row r="87" spans="1:12" x14ac:dyDescent="0.25">
      <c r="A87" s="2" t="s">
        <v>114</v>
      </c>
      <c r="B87" s="3">
        <v>46257</v>
      </c>
      <c r="C87" s="2" t="s">
        <v>13</v>
      </c>
      <c r="D87" s="2" t="s">
        <v>11</v>
      </c>
      <c r="E87" s="2">
        <v>1</v>
      </c>
      <c r="F87" s="2">
        <v>22000</v>
      </c>
      <c r="G87" s="2">
        <v>1500</v>
      </c>
      <c r="H87" s="2">
        <v>12540</v>
      </c>
      <c r="I87" s="2">
        <v>200</v>
      </c>
      <c r="J87" s="2">
        <v>3075</v>
      </c>
      <c r="K87">
        <f t="shared" si="6"/>
        <v>20500</v>
      </c>
      <c r="L87">
        <f t="shared" si="7"/>
        <v>4685</v>
      </c>
    </row>
    <row r="88" spans="1:12" x14ac:dyDescent="0.25">
      <c r="A88" s="2" t="s">
        <v>115</v>
      </c>
      <c r="B88" s="3">
        <v>46258</v>
      </c>
      <c r="C88" s="2" t="s">
        <v>19</v>
      </c>
      <c r="D88" s="2" t="s">
        <v>14</v>
      </c>
      <c r="E88" s="2">
        <v>2</v>
      </c>
      <c r="F88" s="2">
        <v>7000</v>
      </c>
      <c r="G88" s="2">
        <v>200</v>
      </c>
      <c r="H88" s="2">
        <v>3080</v>
      </c>
      <c r="I88" s="2">
        <v>300</v>
      </c>
      <c r="J88" s="2">
        <v>204</v>
      </c>
      <c r="K88">
        <f t="shared" si="6"/>
        <v>6800</v>
      </c>
      <c r="L88">
        <f t="shared" si="7"/>
        <v>3216</v>
      </c>
    </row>
    <row r="89" spans="1:12" x14ac:dyDescent="0.25">
      <c r="A89" s="2" t="s">
        <v>116</v>
      </c>
      <c r="B89" s="3">
        <v>46259</v>
      </c>
      <c r="C89" s="2" t="s">
        <v>16</v>
      </c>
      <c r="D89" s="2" t="s">
        <v>14</v>
      </c>
      <c r="E89" s="2">
        <v>1</v>
      </c>
      <c r="F89" s="2">
        <v>3500</v>
      </c>
      <c r="G89" s="2">
        <v>0</v>
      </c>
      <c r="H89" s="2">
        <v>1505</v>
      </c>
      <c r="I89" s="2">
        <v>0</v>
      </c>
      <c r="J89" s="2">
        <v>70</v>
      </c>
      <c r="K89">
        <f t="shared" si="6"/>
        <v>3500</v>
      </c>
      <c r="L89">
        <f t="shared" si="7"/>
        <v>1925</v>
      </c>
    </row>
    <row r="90" spans="1:12" x14ac:dyDescent="0.25">
      <c r="A90" s="2" t="s">
        <v>117</v>
      </c>
      <c r="B90" s="3">
        <v>46260</v>
      </c>
      <c r="C90" s="2" t="s">
        <v>13</v>
      </c>
      <c r="D90" s="2" t="s">
        <v>17</v>
      </c>
      <c r="E90" s="2">
        <v>4</v>
      </c>
      <c r="F90" s="2">
        <v>4000</v>
      </c>
      <c r="G90" s="2">
        <v>200</v>
      </c>
      <c r="H90" s="2">
        <v>1640</v>
      </c>
      <c r="I90" s="2">
        <v>400</v>
      </c>
      <c r="J90" s="2">
        <v>600</v>
      </c>
      <c r="K90">
        <f t="shared" si="6"/>
        <v>3800</v>
      </c>
      <c r="L90">
        <f t="shared" si="7"/>
        <v>1160</v>
      </c>
    </row>
    <row r="91" spans="1:12" x14ac:dyDescent="0.25">
      <c r="A91" s="2" t="s">
        <v>118</v>
      </c>
      <c r="B91" s="3">
        <v>46261</v>
      </c>
      <c r="C91" s="2" t="s">
        <v>19</v>
      </c>
      <c r="D91" s="2" t="s">
        <v>11</v>
      </c>
      <c r="E91" s="2">
        <v>1</v>
      </c>
      <c r="F91" s="2">
        <v>15000</v>
      </c>
      <c r="G91" s="2">
        <v>1000</v>
      </c>
      <c r="H91" s="2">
        <v>9300</v>
      </c>
      <c r="I91" s="2">
        <v>250</v>
      </c>
      <c r="J91" s="2">
        <v>420</v>
      </c>
      <c r="K91">
        <f t="shared" si="6"/>
        <v>14000</v>
      </c>
      <c r="L91">
        <f t="shared" si="7"/>
        <v>4030</v>
      </c>
    </row>
    <row r="92" spans="1:12" x14ac:dyDescent="0.25">
      <c r="A92" s="2" t="s">
        <v>119</v>
      </c>
      <c r="B92" s="3">
        <v>46262</v>
      </c>
      <c r="C92" s="2" t="s">
        <v>13</v>
      </c>
      <c r="D92" s="2" t="s">
        <v>11</v>
      </c>
      <c r="E92" s="2">
        <v>1</v>
      </c>
      <c r="F92" s="2">
        <v>12000</v>
      </c>
      <c r="G92" s="2">
        <v>0</v>
      </c>
      <c r="H92" s="2">
        <v>7080</v>
      </c>
      <c r="I92" s="2">
        <v>200</v>
      </c>
      <c r="J92" s="2">
        <v>1800</v>
      </c>
      <c r="K92">
        <f t="shared" si="6"/>
        <v>12000</v>
      </c>
      <c r="L92">
        <f t="shared" si="7"/>
        <v>2920</v>
      </c>
    </row>
    <row r="93" spans="1:12" x14ac:dyDescent="0.25">
      <c r="A93" s="2" t="s">
        <v>120</v>
      </c>
      <c r="B93" s="3">
        <v>46263</v>
      </c>
      <c r="C93" s="2" t="s">
        <v>19</v>
      </c>
      <c r="D93" s="2" t="s">
        <v>17</v>
      </c>
      <c r="E93" s="2">
        <v>1</v>
      </c>
      <c r="F93" s="2">
        <v>1500</v>
      </c>
      <c r="G93" s="2">
        <v>0</v>
      </c>
      <c r="H93" s="2">
        <v>630</v>
      </c>
      <c r="I93" s="2">
        <v>100</v>
      </c>
      <c r="J93" s="2">
        <v>45</v>
      </c>
      <c r="K93">
        <f t="shared" si="6"/>
        <v>1500</v>
      </c>
      <c r="L93">
        <f t="shared" si="7"/>
        <v>725</v>
      </c>
    </row>
    <row r="94" spans="1:12" x14ac:dyDescent="0.25">
      <c r="A94" s="2" t="s">
        <v>121</v>
      </c>
      <c r="B94" s="3">
        <v>46264</v>
      </c>
      <c r="C94" s="2" t="s">
        <v>16</v>
      </c>
      <c r="D94" s="2" t="s">
        <v>11</v>
      </c>
      <c r="E94" s="2">
        <v>1</v>
      </c>
      <c r="F94" s="2">
        <v>18000</v>
      </c>
      <c r="G94" s="2">
        <v>0</v>
      </c>
      <c r="H94" s="2">
        <v>10620</v>
      </c>
      <c r="I94" s="2">
        <v>0</v>
      </c>
      <c r="J94" s="2">
        <v>360</v>
      </c>
      <c r="K94">
        <f t="shared" si="6"/>
        <v>18000</v>
      </c>
      <c r="L94">
        <f t="shared" si="7"/>
        <v>7020</v>
      </c>
    </row>
    <row r="95" spans="1:12" x14ac:dyDescent="0.25">
      <c r="A95" s="2" t="s">
        <v>122</v>
      </c>
      <c r="B95" s="3">
        <v>46265</v>
      </c>
      <c r="C95" s="2" t="s">
        <v>19</v>
      </c>
      <c r="D95" s="2" t="s">
        <v>11</v>
      </c>
      <c r="E95" s="2">
        <v>1</v>
      </c>
      <c r="F95" s="2">
        <v>8000</v>
      </c>
      <c r="G95" s="2">
        <v>0</v>
      </c>
      <c r="H95" s="2">
        <v>4880</v>
      </c>
      <c r="I95" s="2">
        <v>250</v>
      </c>
      <c r="J95" s="2">
        <v>240</v>
      </c>
      <c r="K95">
        <f t="shared" si="6"/>
        <v>8000</v>
      </c>
      <c r="L95">
        <f t="shared" si="7"/>
        <v>2630</v>
      </c>
    </row>
    <row r="96" spans="1:12" x14ac:dyDescent="0.25">
      <c r="A96" s="2" t="s">
        <v>123</v>
      </c>
      <c r="B96" s="3">
        <v>46266</v>
      </c>
      <c r="C96" s="2" t="s">
        <v>13</v>
      </c>
      <c r="D96" s="2" t="s">
        <v>14</v>
      </c>
      <c r="E96" s="2">
        <v>1</v>
      </c>
      <c r="F96" s="2">
        <v>4500</v>
      </c>
      <c r="G96" s="2">
        <v>200</v>
      </c>
      <c r="H96" s="2">
        <v>1938</v>
      </c>
      <c r="I96" s="2">
        <v>150</v>
      </c>
      <c r="J96" s="2">
        <v>645</v>
      </c>
      <c r="K96">
        <f t="shared" si="6"/>
        <v>4300</v>
      </c>
      <c r="L96">
        <f t="shared" si="7"/>
        <v>1567</v>
      </c>
    </row>
    <row r="97" spans="1:12" x14ac:dyDescent="0.25">
      <c r="A97" s="2" t="s">
        <v>124</v>
      </c>
      <c r="B97" s="3">
        <v>46267</v>
      </c>
      <c r="C97" s="2" t="s">
        <v>19</v>
      </c>
      <c r="D97" s="2" t="s">
        <v>14</v>
      </c>
      <c r="E97" s="2">
        <v>2</v>
      </c>
      <c r="F97" s="2">
        <v>9000</v>
      </c>
      <c r="G97" s="2">
        <v>500</v>
      </c>
      <c r="H97" s="2">
        <v>3960</v>
      </c>
      <c r="I97" s="2">
        <v>300</v>
      </c>
      <c r="J97" s="2">
        <v>255</v>
      </c>
      <c r="K97">
        <f t="shared" si="6"/>
        <v>8500</v>
      </c>
      <c r="L97">
        <f t="shared" si="7"/>
        <v>3985</v>
      </c>
    </row>
    <row r="98" spans="1:12" x14ac:dyDescent="0.25">
      <c r="A98" s="2" t="s">
        <v>125</v>
      </c>
      <c r="B98" s="3">
        <v>46268</v>
      </c>
      <c r="C98" s="2" t="s">
        <v>16</v>
      </c>
      <c r="D98" s="2" t="s">
        <v>17</v>
      </c>
      <c r="E98" s="2">
        <v>2</v>
      </c>
      <c r="F98" s="2">
        <v>5000</v>
      </c>
      <c r="G98" s="2">
        <v>0</v>
      </c>
      <c r="H98" s="2">
        <v>2050</v>
      </c>
      <c r="I98" s="2">
        <v>0</v>
      </c>
      <c r="J98" s="2">
        <v>100</v>
      </c>
      <c r="K98">
        <f t="shared" si="6"/>
        <v>5000</v>
      </c>
      <c r="L98">
        <f t="shared" si="7"/>
        <v>2850</v>
      </c>
    </row>
    <row r="99" spans="1:12" x14ac:dyDescent="0.25">
      <c r="A99" s="2" t="s">
        <v>126</v>
      </c>
      <c r="B99" s="3">
        <v>46269</v>
      </c>
      <c r="C99" s="2" t="s">
        <v>13</v>
      </c>
      <c r="D99" s="2" t="s">
        <v>11</v>
      </c>
      <c r="E99" s="2">
        <v>1</v>
      </c>
      <c r="F99" s="2">
        <v>15000</v>
      </c>
      <c r="G99" s="2">
        <v>1000</v>
      </c>
      <c r="H99" s="2">
        <v>8700</v>
      </c>
      <c r="I99" s="2">
        <v>200</v>
      </c>
      <c r="J99" s="2">
        <v>2100</v>
      </c>
      <c r="K99">
        <f t="shared" si="6"/>
        <v>14000</v>
      </c>
      <c r="L99">
        <f t="shared" si="7"/>
        <v>3000</v>
      </c>
    </row>
    <row r="100" spans="1:12" x14ac:dyDescent="0.25">
      <c r="A100" s="2" t="s">
        <v>127</v>
      </c>
      <c r="B100" s="3">
        <v>46270</v>
      </c>
      <c r="C100" s="2" t="s">
        <v>19</v>
      </c>
      <c r="D100" s="2" t="s">
        <v>11</v>
      </c>
      <c r="E100" s="2">
        <v>1</v>
      </c>
      <c r="F100" s="2">
        <v>22000</v>
      </c>
      <c r="G100" s="2">
        <v>1500</v>
      </c>
      <c r="H100" s="2">
        <v>13140</v>
      </c>
      <c r="I100" s="2">
        <v>250</v>
      </c>
      <c r="J100" s="2">
        <v>615</v>
      </c>
      <c r="K100">
        <f t="shared" si="6"/>
        <v>20500</v>
      </c>
      <c r="L100">
        <f t="shared" si="7"/>
        <v>6495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353A-26C5-4190-AF05-F4034025397D}">
  <dimension ref="A1:F10"/>
  <sheetViews>
    <sheetView workbookViewId="0">
      <selection activeCell="E3" sqref="E3"/>
    </sheetView>
  </sheetViews>
  <sheetFormatPr defaultRowHeight="15" x14ac:dyDescent="0.25"/>
  <cols>
    <col min="1" max="1" width="12.28515625" customWidth="1"/>
    <col min="2" max="2" width="18.85546875" bestFit="1" customWidth="1"/>
    <col min="3" max="3" width="16.140625" customWidth="1"/>
    <col min="4" max="4" width="19.7109375" customWidth="1"/>
    <col min="5" max="5" width="16.7109375" customWidth="1"/>
    <col min="6" max="6" width="19.5703125" customWidth="1"/>
  </cols>
  <sheetData>
    <row r="1" spans="1:6" x14ac:dyDescent="0.25">
      <c r="A1" s="2" t="s">
        <v>2</v>
      </c>
      <c r="B1" s="2" t="s">
        <v>27</v>
      </c>
      <c r="C1" s="2" t="s">
        <v>28</v>
      </c>
      <c r="D1" s="2" t="s">
        <v>29</v>
      </c>
      <c r="E1" s="2" t="s">
        <v>30</v>
      </c>
      <c r="F1" s="5" t="s">
        <v>31</v>
      </c>
    </row>
    <row r="2" spans="1:6" x14ac:dyDescent="0.25">
      <c r="A2" s="2" t="s">
        <v>19</v>
      </c>
      <c r="B2" s="2" t="s">
        <v>32</v>
      </c>
      <c r="C2" s="2">
        <v>350000</v>
      </c>
      <c r="D2" s="2">
        <f>GETPIVOTDATA("Net_Sales", Channel_Summary!$A$3, "Channel", A2)</f>
        <v>397900</v>
      </c>
      <c r="E2" s="2">
        <f>D2 - C2</f>
        <v>47900</v>
      </c>
      <c r="F2" s="5">
        <f>E2 / C2</f>
        <v>0.13685714285714284</v>
      </c>
    </row>
    <row r="3" spans="1:6" x14ac:dyDescent="0.25">
      <c r="A3" s="2" t="s">
        <v>13</v>
      </c>
      <c r="B3" s="2" t="s">
        <v>32</v>
      </c>
      <c r="C3" s="2">
        <v>375000</v>
      </c>
      <c r="D3" s="2">
        <f>Channel_Summary!C4</f>
        <v>391100</v>
      </c>
      <c r="E3" s="2">
        <f>D3-C3</f>
        <v>16100</v>
      </c>
      <c r="F3" s="5">
        <f>(D3-C3)/C3</f>
        <v>4.293333333333333E-2</v>
      </c>
    </row>
    <row r="4" spans="1:6" x14ac:dyDescent="0.25">
      <c r="A4" s="2" t="s">
        <v>16</v>
      </c>
      <c r="B4" s="2" t="s">
        <v>32</v>
      </c>
      <c r="C4" s="2">
        <v>220000</v>
      </c>
      <c r="D4" s="2">
        <f>Channel_Summary!C5</f>
        <v>234500</v>
      </c>
      <c r="E4" s="2">
        <f>D4-C4</f>
        <v>14500</v>
      </c>
      <c r="F4" s="5">
        <f>(D4-C4)/C4</f>
        <v>6.5909090909090903E-2</v>
      </c>
    </row>
    <row r="5" spans="1:6" x14ac:dyDescent="0.25">
      <c r="A5" s="2" t="s">
        <v>19</v>
      </c>
      <c r="B5" s="2" t="s">
        <v>7</v>
      </c>
      <c r="C5" s="2">
        <v>200000</v>
      </c>
      <c r="D5" s="2">
        <f>SUMIF(Sales_Data!$C:$C, A5, Sales_Data!$H:$H)</f>
        <v>233643</v>
      </c>
      <c r="E5" s="2">
        <f>C5-D5</f>
        <v>-33643</v>
      </c>
      <c r="F5" s="5">
        <f t="shared" ref="F5:F10" si="0">E5/C5</f>
        <v>-0.168215</v>
      </c>
    </row>
    <row r="6" spans="1:6" x14ac:dyDescent="0.25">
      <c r="A6" s="2" t="s">
        <v>13</v>
      </c>
      <c r="B6" s="2" t="s">
        <v>7</v>
      </c>
      <c r="C6" s="2">
        <v>130000</v>
      </c>
      <c r="D6" s="2">
        <f>SUMIF(Sales_Data!$C:$C, A6, Sales_Data!$H:$H)</f>
        <v>225475</v>
      </c>
      <c r="E6" s="2">
        <f>C6-D6</f>
        <v>-95475</v>
      </c>
      <c r="F6" s="5">
        <f t="shared" si="0"/>
        <v>-0.73442307692307696</v>
      </c>
    </row>
    <row r="7" spans="1:6" x14ac:dyDescent="0.25">
      <c r="A7" s="2" t="s">
        <v>16</v>
      </c>
      <c r="B7" s="2" t="s">
        <v>7</v>
      </c>
      <c r="C7" s="2">
        <v>130000</v>
      </c>
      <c r="D7" s="2">
        <f>SUMIF(Sales_Data!$C:$C, A7, Sales_Data!$H:$H)</f>
        <v>132489</v>
      </c>
      <c r="E7" s="2">
        <f>C7-D7</f>
        <v>-2489</v>
      </c>
      <c r="F7" s="5">
        <f t="shared" si="0"/>
        <v>-1.9146153846153847E-2</v>
      </c>
    </row>
    <row r="8" spans="1:6" x14ac:dyDescent="0.25">
      <c r="A8" s="2" t="s">
        <v>19</v>
      </c>
      <c r="B8" s="2" t="s">
        <v>128</v>
      </c>
      <c r="C8" s="2">
        <v>130000</v>
      </c>
      <c r="D8" s="2">
        <f>GETPIVOTDATA("Contribution_Margin", Channel_Summary!$A$3, "Channel", "Shopify")</f>
        <v>141885</v>
      </c>
      <c r="E8" s="2">
        <f>D8-C8</f>
        <v>11885</v>
      </c>
      <c r="F8" s="5">
        <f t="shared" si="0"/>
        <v>9.1423076923076926E-2</v>
      </c>
    </row>
    <row r="9" spans="1:6" x14ac:dyDescent="0.25">
      <c r="A9" s="2" t="s">
        <v>13</v>
      </c>
      <c r="B9" s="2" t="s">
        <v>128</v>
      </c>
      <c r="C9" s="2">
        <v>95000</v>
      </c>
      <c r="D9" s="2">
        <f>GETPIVOTDATA("Contribution_Margin", Channel_Summary!$A$3, "Channel", "Marketplace")</f>
        <v>98740</v>
      </c>
      <c r="E9" s="2">
        <f>D9-C9</f>
        <v>3740</v>
      </c>
      <c r="F9" s="5">
        <f t="shared" si="0"/>
        <v>3.936842105263158E-2</v>
      </c>
    </row>
    <row r="10" spans="1:6" x14ac:dyDescent="0.25">
      <c r="A10" s="2" t="s">
        <v>16</v>
      </c>
      <c r="B10" s="2" t="s">
        <v>128</v>
      </c>
      <c r="C10" s="2">
        <v>90000</v>
      </c>
      <c r="D10" s="2">
        <f>GETPIVOTDATA("Contribution_Margin", Channel_Summary!$A$3, "Channel", "Retail Store")</f>
        <v>97271</v>
      </c>
      <c r="E10" s="2">
        <f>D10-C10</f>
        <v>7271</v>
      </c>
      <c r="F10" s="5">
        <f t="shared" si="0"/>
        <v>8.0788888888888882E-2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AD16-1A5C-4D40-8FE9-E8437DF3E6C4}">
  <dimension ref="B1:L5"/>
  <sheetViews>
    <sheetView showGridLines="0" workbookViewId="0">
      <selection activeCell="C20" sqref="C20"/>
    </sheetView>
  </sheetViews>
  <sheetFormatPr defaultRowHeight="15" x14ac:dyDescent="0.25"/>
  <cols>
    <col min="2" max="2" width="61" customWidth="1"/>
    <col min="6" max="6" width="13.5703125" style="6" customWidth="1"/>
    <col min="10" max="10" width="23" customWidth="1"/>
  </cols>
  <sheetData>
    <row r="1" spans="2:12" x14ac:dyDescent="0.25">
      <c r="B1" s="6" t="s">
        <v>131</v>
      </c>
      <c r="F1" s="6" t="s">
        <v>129</v>
      </c>
      <c r="J1" s="6" t="s">
        <v>130</v>
      </c>
    </row>
    <row r="2" spans="2:12" x14ac:dyDescent="0.25">
      <c r="B2" s="7">
        <f>Channel_Summary!B7</f>
        <v>1066000</v>
      </c>
      <c r="C2" s="8"/>
      <c r="D2" s="9"/>
      <c r="F2" s="16">
        <f>Channel_Summary!C7</f>
        <v>1023500</v>
      </c>
      <c r="G2" s="16"/>
      <c r="H2" s="16"/>
      <c r="J2" s="17">
        <f>Channel_Summary!D7</f>
        <v>337896</v>
      </c>
      <c r="K2" s="17"/>
      <c r="L2" s="17"/>
    </row>
    <row r="3" spans="2:12" x14ac:dyDescent="0.25">
      <c r="B3" s="10"/>
      <c r="C3" s="11"/>
      <c r="D3" s="12"/>
      <c r="F3" s="16"/>
      <c r="G3" s="16"/>
      <c r="H3" s="16"/>
      <c r="J3" s="17"/>
      <c r="K3" s="17"/>
      <c r="L3" s="17"/>
    </row>
    <row r="4" spans="2:12" x14ac:dyDescent="0.25">
      <c r="B4" s="13"/>
      <c r="C4" s="14"/>
      <c r="D4" s="15"/>
      <c r="F4" s="16"/>
      <c r="G4" s="16"/>
      <c r="H4" s="16"/>
      <c r="J4" s="17"/>
      <c r="K4" s="17"/>
      <c r="L4" s="17"/>
    </row>
    <row r="5" spans="2:12" x14ac:dyDescent="0.25">
      <c r="J5" s="2"/>
    </row>
  </sheetData>
  <mergeCells count="3">
    <mergeCell ref="B2:D4"/>
    <mergeCell ref="F2:H4"/>
    <mergeCell ref="J2:L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6339-33DA-4A43-80BC-BD23035124D0}">
  <dimension ref="A1:F8"/>
  <sheetViews>
    <sheetView tabSelected="1" workbookViewId="0"/>
  </sheetViews>
  <sheetFormatPr defaultRowHeight="15" x14ac:dyDescent="0.25"/>
  <cols>
    <col min="1" max="1" width="61.28515625" customWidth="1"/>
    <col min="2" max="2" width="21" bestFit="1" customWidth="1"/>
    <col min="3" max="3" width="30.5703125" bestFit="1" customWidth="1"/>
    <col min="4" max="4" width="17.5703125" bestFit="1" customWidth="1"/>
    <col min="5" max="5" width="21.140625" bestFit="1" customWidth="1"/>
    <col min="6" max="6" width="16" customWidth="1"/>
  </cols>
  <sheetData>
    <row r="1" spans="1:6" x14ac:dyDescent="0.25">
      <c r="A1" s="19" t="s">
        <v>132</v>
      </c>
      <c r="B1" s="2"/>
      <c r="C1" s="2"/>
      <c r="D1" s="2"/>
      <c r="E1" s="2"/>
      <c r="F1" s="2"/>
    </row>
    <row r="2" spans="1:6" x14ac:dyDescent="0.25">
      <c r="A2" s="19"/>
      <c r="B2" s="2"/>
      <c r="C2" s="2"/>
      <c r="D2" s="2"/>
      <c r="E2" s="2"/>
      <c r="F2" s="2"/>
    </row>
    <row r="3" spans="1:6" x14ac:dyDescent="0.25">
      <c r="A3" s="19" t="s">
        <v>2</v>
      </c>
      <c r="B3" s="19" t="s">
        <v>133</v>
      </c>
      <c r="C3" s="19" t="s">
        <v>134</v>
      </c>
      <c r="D3" s="19" t="s">
        <v>135</v>
      </c>
      <c r="E3" s="19" t="s">
        <v>136</v>
      </c>
      <c r="F3" s="19" t="s">
        <v>137</v>
      </c>
    </row>
    <row r="4" spans="1:6" x14ac:dyDescent="0.25">
      <c r="A4" s="19" t="s">
        <v>19</v>
      </c>
      <c r="B4" s="2">
        <f>Channel_Summary!C6</f>
        <v>397900</v>
      </c>
      <c r="C4" s="18">
        <v>0.02</v>
      </c>
      <c r="D4" s="2">
        <f>B4*C4</f>
        <v>7958</v>
      </c>
      <c r="E4" s="2">
        <v>0</v>
      </c>
      <c r="F4" s="2">
        <f>B4-D4-E4</f>
        <v>389942</v>
      </c>
    </row>
    <row r="5" spans="1:6" x14ac:dyDescent="0.25">
      <c r="A5" s="19" t="s">
        <v>13</v>
      </c>
      <c r="B5" s="2">
        <f>Channel_Summary!C4</f>
        <v>391100</v>
      </c>
      <c r="C5" s="18">
        <v>0.15</v>
      </c>
      <c r="D5" s="2">
        <f>B5*C5</f>
        <v>58665</v>
      </c>
      <c r="E5" s="2">
        <v>35000</v>
      </c>
      <c r="F5" s="2">
        <f>B5-D5-E5</f>
        <v>297435</v>
      </c>
    </row>
    <row r="6" spans="1:6" x14ac:dyDescent="0.25">
      <c r="A6" s="19" t="s">
        <v>16</v>
      </c>
      <c r="B6" s="2">
        <f>Channel_Summary!C5</f>
        <v>234500</v>
      </c>
      <c r="C6" s="18">
        <v>0.01</v>
      </c>
      <c r="D6" s="2">
        <f>B6*C6</f>
        <v>2345</v>
      </c>
      <c r="E6" s="2">
        <v>0</v>
      </c>
      <c r="F6" s="2">
        <f>B6-D6-E6</f>
        <v>232155</v>
      </c>
    </row>
    <row r="7" spans="1:6" x14ac:dyDescent="0.25">
      <c r="A7" s="19"/>
      <c r="B7" s="2"/>
      <c r="C7" s="2"/>
      <c r="D7" s="2"/>
      <c r="E7" s="2"/>
      <c r="F7" s="2"/>
    </row>
    <row r="8" spans="1:6" x14ac:dyDescent="0.25">
      <c r="A8" s="19" t="s">
        <v>138</v>
      </c>
      <c r="B8" s="2">
        <f>SUM(B4:B6)</f>
        <v>1023500</v>
      </c>
      <c r="C8" s="2"/>
      <c r="D8" s="2">
        <f>SUM(D4:D6)</f>
        <v>68968</v>
      </c>
      <c r="E8" s="2">
        <f>SUM(E4:E6)</f>
        <v>35000</v>
      </c>
      <c r="F8" s="2">
        <f>SUM(F4:F6)</f>
        <v>919532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Channel_Summary</vt:lpstr>
      <vt:lpstr>Sales_Data</vt:lpstr>
      <vt:lpstr>Budget_Variance</vt:lpstr>
      <vt:lpstr>Management_Dashboard</vt:lpstr>
      <vt:lpstr>Settlement_Reconciliation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Arora</dc:creator>
  <cp:lastModifiedBy>Sanchit Arora</cp:lastModifiedBy>
  <dcterms:created xsi:type="dcterms:W3CDTF">2026-10-25T08:04:23Z</dcterms:created>
  <dcterms:modified xsi:type="dcterms:W3CDTF">2026-10-25T10:40:35Z</dcterms:modified>
</cp:coreProperties>
</file>